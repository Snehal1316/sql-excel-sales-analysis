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dcd41d3938f6e16f/Desktop/excel project/sql_excel_sales_analysis_project/"/>
    </mc:Choice>
  </mc:AlternateContent>
  <xr:revisionPtr revIDLastSave="644" documentId="11_0F40F20B2971A6DFFE0F5D26F9AE862A41DA72A5" xr6:coauthVersionLast="47" xr6:coauthVersionMax="47" xr10:uidLastSave="{C91784C5-19FF-462C-BB5F-C3BC253E70D7}"/>
  <bookViews>
    <workbookView xWindow="-110" yWindow="-110" windowWidth="19420" windowHeight="10300" xr2:uid="{00000000-000D-0000-FFFF-FFFF00000000}"/>
  </bookViews>
  <sheets>
    <sheet name="Dashboard" sheetId="1" r:id="rId1"/>
    <sheet name="summary data " sheetId="6" r:id="rId2"/>
    <sheet name="pivot analysis" sheetId="5" r:id="rId3"/>
    <sheet name="Sales Data" sheetId="2" r:id="rId4"/>
    <sheet name="Read Me" sheetId="3" r:id="rId5"/>
  </sheets>
  <definedNames>
    <definedName name="Slicer_Category">#N/A</definedName>
    <definedName name="Slicer_Channel">#N/A</definedName>
    <definedName name="Slicer_Region">#N/A</definedName>
  </definedNames>
  <calcPr calcId="0"/>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<sst xmlns="http://schemas.openxmlformats.org/spreadsheetml/2006/main" count="1530" uniqueCount="495">
  <si>
    <t>Synthetic retail technology data | 240 order lines | 2025</t>
  </si>
  <si>
    <t>Total Sales</t>
  </si>
  <si>
    <t>Total Profit</t>
  </si>
  <si>
    <t>Order Lines</t>
  </si>
  <si>
    <t>Profit Margin</t>
  </si>
  <si>
    <t>Regional Performance</t>
  </si>
  <si>
    <t>Month</t>
  </si>
  <si>
    <t>Sales</t>
  </si>
  <si>
    <t>Profit</t>
  </si>
  <si>
    <t>Region</t>
  </si>
  <si>
    <t>2025-01</t>
  </si>
  <si>
    <t>South</t>
  </si>
  <si>
    <t>2025-02</t>
  </si>
  <si>
    <t>East</t>
  </si>
  <si>
    <t>2025-03</t>
  </si>
  <si>
    <t>North</t>
  </si>
  <si>
    <t>2025-04</t>
  </si>
  <si>
    <t>Central</t>
  </si>
  <si>
    <t>2025-05</t>
  </si>
  <si>
    <t>West</t>
  </si>
  <si>
    <t>2025-06</t>
  </si>
  <si>
    <t>2025-07</t>
  </si>
  <si>
    <t>2025-08</t>
  </si>
  <si>
    <t>Category Performance</t>
  </si>
  <si>
    <t>2025-09</t>
  </si>
  <si>
    <t>Category</t>
  </si>
  <si>
    <t>2025-10</t>
  </si>
  <si>
    <t>Computers</t>
  </si>
  <si>
    <t>2025-11</t>
  </si>
  <si>
    <t>Monitors</t>
  </si>
  <si>
    <t>2025-12</t>
  </si>
  <si>
    <t>Storage</t>
  </si>
  <si>
    <t>Accessories</t>
  </si>
  <si>
    <t>OrderID</t>
  </si>
  <si>
    <t>OrderDate</t>
  </si>
  <si>
    <t>Channel</t>
  </si>
  <si>
    <t>Product</t>
  </si>
  <si>
    <t>Quantity</t>
  </si>
  <si>
    <t>UnitPrice</t>
  </si>
  <si>
    <t>DiscountPct</t>
  </si>
  <si>
    <t>Cost</t>
  </si>
  <si>
    <t>ORD0193</t>
  </si>
  <si>
    <t>2025-01-02</t>
  </si>
  <si>
    <t>Retail</t>
  </si>
  <si>
    <t>27-inch Monitor</t>
  </si>
  <si>
    <t>ORD0102</t>
  </si>
  <si>
    <t>2025-01-04</t>
  </si>
  <si>
    <t>USB-C Hub</t>
  </si>
  <si>
    <t>ORD0078</t>
  </si>
  <si>
    <t>2025-01-05</t>
  </si>
  <si>
    <t>Partner</t>
  </si>
  <si>
    <t>External HDD 2TB</t>
  </si>
  <si>
    <t>ORD0112</t>
  </si>
  <si>
    <t>Budget Laptop</t>
  </si>
  <si>
    <t>ORD0033</t>
  </si>
  <si>
    <t>2025-01-06</t>
  </si>
  <si>
    <t>Laptop Stand</t>
  </si>
  <si>
    <t>ORD0084</t>
  </si>
  <si>
    <t>2025-01-09</t>
  </si>
  <si>
    <t>Online</t>
  </si>
  <si>
    <t>Business Laptop</t>
  </si>
  <si>
    <t>ORD0157</t>
  </si>
  <si>
    <t>ORD0215</t>
  </si>
  <si>
    <t>ORD0132</t>
  </si>
  <si>
    <t>2025-01-13</t>
  </si>
  <si>
    <t>ORD0173</t>
  </si>
  <si>
    <t>Wireless Mouse</t>
  </si>
  <si>
    <t>ORD0039</t>
  </si>
  <si>
    <t>2025-01-14</t>
  </si>
  <si>
    <t>ORD0114</t>
  </si>
  <si>
    <t>Mechanical Keyboard</t>
  </si>
  <si>
    <t>ORD0029</t>
  </si>
  <si>
    <t>2025-01-15</t>
  </si>
  <si>
    <t>Headset</t>
  </si>
  <si>
    <t>ORD0124</t>
  </si>
  <si>
    <t>2025-01-16</t>
  </si>
  <si>
    <t>ORD0175</t>
  </si>
  <si>
    <t>ORD0043</t>
  </si>
  <si>
    <t>2025-01-18</t>
  </si>
  <si>
    <t>Webcam HD</t>
  </si>
  <si>
    <t>ORD0061</t>
  </si>
  <si>
    <t>2025-01-19</t>
  </si>
  <si>
    <t>ORD0208</t>
  </si>
  <si>
    <t>ORD0088</t>
  </si>
  <si>
    <t>2025-01-20</t>
  </si>
  <si>
    <t>ORD0159</t>
  </si>
  <si>
    <t>ORD0110</t>
  </si>
  <si>
    <t>2025-01-21</t>
  </si>
  <si>
    <t>ORD0072</t>
  </si>
  <si>
    <t>2025-01-28</t>
  </si>
  <si>
    <t>ORD0240</t>
  </si>
  <si>
    <t>2025-01-29</t>
  </si>
  <si>
    <t>ORD0005</t>
  </si>
  <si>
    <t>2025-02-01</t>
  </si>
  <si>
    <t>ORD0237</t>
  </si>
  <si>
    <t>2025-02-02</t>
  </si>
  <si>
    <t>ORD0075</t>
  </si>
  <si>
    <t>2025-02-06</t>
  </si>
  <si>
    <t>ORD0125</t>
  </si>
  <si>
    <t>2025-02-07</t>
  </si>
  <si>
    <t>ORD0018</t>
  </si>
  <si>
    <t>2025-02-08</t>
  </si>
  <si>
    <t>ORD0054</t>
  </si>
  <si>
    <t>2025-02-09</t>
  </si>
  <si>
    <t>ORD0060</t>
  </si>
  <si>
    <t>2025-02-10</t>
  </si>
  <si>
    <t>ORD0165</t>
  </si>
  <si>
    <t>ORD0230</t>
  </si>
  <si>
    <t>2025-02-11</t>
  </si>
  <si>
    <t>ORD0196</t>
  </si>
  <si>
    <t>2025-02-13</t>
  </si>
  <si>
    <t>24-inch Monitor</t>
  </si>
  <si>
    <t>ORD0066</t>
  </si>
  <si>
    <t>2025-02-14</t>
  </si>
  <si>
    <t>ORD0202</t>
  </si>
  <si>
    <t>2025-02-15</t>
  </si>
  <si>
    <t>ORD0174</t>
  </si>
  <si>
    <t>2025-02-16</t>
  </si>
  <si>
    <t>ORD0086</t>
  </si>
  <si>
    <t>2025-02-17</t>
  </si>
  <si>
    <t>External SSD 1TB</t>
  </si>
  <si>
    <t>ORD0232</t>
  </si>
  <si>
    <t>2025-02-19</t>
  </si>
  <si>
    <t>ORD0037</t>
  </si>
  <si>
    <t>2025-02-20</t>
  </si>
  <si>
    <t>ORD0069</t>
  </si>
  <si>
    <t>ORD0058</t>
  </si>
  <si>
    <t>2025-02-23</t>
  </si>
  <si>
    <t>ORD0106</t>
  </si>
  <si>
    <t>ORD0021</t>
  </si>
  <si>
    <t>2025-02-26</t>
  </si>
  <si>
    <t>ORD0217</t>
  </si>
  <si>
    <t>2025-03-01</t>
  </si>
  <si>
    <t>ORD0044</t>
  </si>
  <si>
    <t>2025-03-02</t>
  </si>
  <si>
    <t>ORD0040</t>
  </si>
  <si>
    <t>2025-03-04</t>
  </si>
  <si>
    <t>ORD0130</t>
  </si>
  <si>
    <t>ORD0007</t>
  </si>
  <si>
    <t>2025-03-05</t>
  </si>
  <si>
    <t>ORD0194</t>
  </si>
  <si>
    <t>ORD0171</t>
  </si>
  <si>
    <t>2025-03-10</t>
  </si>
  <si>
    <t>ORD0101</t>
  </si>
  <si>
    <t>2025-03-12</t>
  </si>
  <si>
    <t>ORD0238</t>
  </si>
  <si>
    <t>2025-03-13</t>
  </si>
  <si>
    <t>ORD0176</t>
  </si>
  <si>
    <t>2025-03-15</t>
  </si>
  <si>
    <t>ORD0079</t>
  </si>
  <si>
    <t>2025-03-18</t>
  </si>
  <si>
    <t>ORD0051</t>
  </si>
  <si>
    <t>2025-03-19</t>
  </si>
  <si>
    <t>ORD0122</t>
  </si>
  <si>
    <t>2025-03-22</t>
  </si>
  <si>
    <t>ORD0224</t>
  </si>
  <si>
    <t>2025-03-23</t>
  </si>
  <si>
    <t>ORD0116</t>
  </si>
  <si>
    <t>2025-03-25</t>
  </si>
  <si>
    <t>ORD0227</t>
  </si>
  <si>
    <t>2025-03-26</t>
  </si>
  <si>
    <t>ORD0118</t>
  </si>
  <si>
    <t>2025-03-28</t>
  </si>
  <si>
    <t>ORD0167</t>
  </si>
  <si>
    <t>ORD0055</t>
  </si>
  <si>
    <t>2025-03-29</t>
  </si>
  <si>
    <t>ORD0161</t>
  </si>
  <si>
    <t>2025-03-30</t>
  </si>
  <si>
    <t>ORD0190</t>
  </si>
  <si>
    <t>2025-04-01</t>
  </si>
  <si>
    <t>ORD0103</t>
  </si>
  <si>
    <t>2025-04-09</t>
  </si>
  <si>
    <t>ORD0081</t>
  </si>
  <si>
    <t>2025-04-11</t>
  </si>
  <si>
    <t>ORD0095</t>
  </si>
  <si>
    <t>2025-04-12</t>
  </si>
  <si>
    <t>ORD0203</t>
  </si>
  <si>
    <t>ORD0138</t>
  </si>
  <si>
    <t>2025-04-13</t>
  </si>
  <si>
    <t>ORD0144</t>
  </si>
  <si>
    <t>2025-04-14</t>
  </si>
  <si>
    <t>ORD0094</t>
  </si>
  <si>
    <t>2025-04-17</t>
  </si>
  <si>
    <t>ORD0191</t>
  </si>
  <si>
    <t>ORD0093</t>
  </si>
  <si>
    <t>2025-04-19</t>
  </si>
  <si>
    <t>ORD0109</t>
  </si>
  <si>
    <t>ORD0139</t>
  </si>
  <si>
    <t>ORD0201</t>
  </si>
  <si>
    <t>ORD0059</t>
  </si>
  <si>
    <t>2025-04-20</t>
  </si>
  <si>
    <t>ORD0151</t>
  </si>
  <si>
    <t>2025-04-21</t>
  </si>
  <si>
    <t>ORD0092</t>
  </si>
  <si>
    <t>2025-04-24</t>
  </si>
  <si>
    <t>ORD0209</t>
  </si>
  <si>
    <t>ORD0226</t>
  </si>
  <si>
    <t>2025-04-27</t>
  </si>
  <si>
    <t>ORD0028</t>
  </si>
  <si>
    <t>2025-04-28</t>
  </si>
  <si>
    <t>ORD0160</t>
  </si>
  <si>
    <t>2025-05-02</t>
  </si>
  <si>
    <t>ORD0003</t>
  </si>
  <si>
    <t>2025-05-08</t>
  </si>
  <si>
    <t>ORD0071</t>
  </si>
  <si>
    <t>2025-05-12</t>
  </si>
  <si>
    <t>ORD0185</t>
  </si>
  <si>
    <t>2025-05-14</t>
  </si>
  <si>
    <t>ORD0231</t>
  </si>
  <si>
    <t>2025-05-15</t>
  </si>
  <si>
    <t>ORD0025</t>
  </si>
  <si>
    <t>2025-05-16</t>
  </si>
  <si>
    <t>ORD0189</t>
  </si>
  <si>
    <t>ORD0219</t>
  </si>
  <si>
    <t>ORD0013</t>
  </si>
  <si>
    <t>2025-05-17</t>
  </si>
  <si>
    <t>ORD0149</t>
  </si>
  <si>
    <t>2025-05-18</t>
  </si>
  <si>
    <t>ORD0210</t>
  </si>
  <si>
    <t>2025-05-19</t>
  </si>
  <si>
    <t>ORD0017</t>
  </si>
  <si>
    <t>2025-05-20</t>
  </si>
  <si>
    <t>ORD0220</t>
  </si>
  <si>
    <t>2025-05-23</t>
  </si>
  <si>
    <t>ORD0050</t>
  </si>
  <si>
    <t>2025-05-25</t>
  </si>
  <si>
    <t>ORD0207</t>
  </si>
  <si>
    <t>ORD0222</t>
  </si>
  <si>
    <t>2025-05-27</t>
  </si>
  <si>
    <t>ORD0126</t>
  </si>
  <si>
    <t>2025-05-30</t>
  </si>
  <si>
    <t>ORD0197</t>
  </si>
  <si>
    <t>ORD0155</t>
  </si>
  <si>
    <t>2025-06-02</t>
  </si>
  <si>
    <t>ORD0142</t>
  </si>
  <si>
    <t>2025-06-03</t>
  </si>
  <si>
    <t>ORD0083</t>
  </si>
  <si>
    <t>2025-06-08</t>
  </si>
  <si>
    <t>ORD0119</t>
  </si>
  <si>
    <t>ORD0023</t>
  </si>
  <si>
    <t>2025-06-09</t>
  </si>
  <si>
    <t>ORD0073</t>
  </si>
  <si>
    <t>ORD0031</t>
  </si>
  <si>
    <t>2025-06-10</t>
  </si>
  <si>
    <t>ORD0022</t>
  </si>
  <si>
    <t>2025-06-11</t>
  </si>
  <si>
    <t>ORD0137</t>
  </si>
  <si>
    <t>ORD0192</t>
  </si>
  <si>
    <t>ORD0004</t>
  </si>
  <si>
    <t>2025-06-12</t>
  </si>
  <si>
    <t>ORD0015</t>
  </si>
  <si>
    <t>2025-06-13</t>
  </si>
  <si>
    <t>ORD0127</t>
  </si>
  <si>
    <t>2025-06-14</t>
  </si>
  <si>
    <t>ORD0166</t>
  </si>
  <si>
    <t>ORD0085</t>
  </si>
  <si>
    <t>2025-06-17</t>
  </si>
  <si>
    <t>ORD0104</t>
  </si>
  <si>
    <t>ORD0120</t>
  </si>
  <si>
    <t>ORD0030</t>
  </si>
  <si>
    <t>2025-06-18</t>
  </si>
  <si>
    <t>ORD0147</t>
  </si>
  <si>
    <t>2025-06-19</t>
  </si>
  <si>
    <t>ORD0154</t>
  </si>
  <si>
    <t>2025-06-20</t>
  </si>
  <si>
    <t>ORD0016</t>
  </si>
  <si>
    <t>2025-06-21</t>
  </si>
  <si>
    <t>ORD0129</t>
  </si>
  <si>
    <t>2025-06-22</t>
  </si>
  <si>
    <t>ORD0168</t>
  </si>
  <si>
    <t>2025-06-24</t>
  </si>
  <si>
    <t>ORD0184</t>
  </si>
  <si>
    <t>2025-06-30</t>
  </si>
  <si>
    <t>ORD0032</t>
  </si>
  <si>
    <t>2025-07-02</t>
  </si>
  <si>
    <t>ORD0121</t>
  </si>
  <si>
    <t>2025-07-05</t>
  </si>
  <si>
    <t>ORD0131</t>
  </si>
  <si>
    <t>2025-07-06</t>
  </si>
  <si>
    <t>ORD0169</t>
  </si>
  <si>
    <t>2025-07-08</t>
  </si>
  <si>
    <t>ORD0218</t>
  </si>
  <si>
    <t>ORD0234</t>
  </si>
  <si>
    <t>2025-07-09</t>
  </si>
  <si>
    <t>ORD0077</t>
  </si>
  <si>
    <t>2025-07-10</t>
  </si>
  <si>
    <t>ORD0158</t>
  </si>
  <si>
    <t>ORD0011</t>
  </si>
  <si>
    <t>2025-07-11</t>
  </si>
  <si>
    <t>ORD0200</t>
  </si>
  <si>
    <t>2025-07-13</t>
  </si>
  <si>
    <t>ORD0195</t>
  </si>
  <si>
    <t>2025-07-14</t>
  </si>
  <si>
    <t>ORD0115</t>
  </si>
  <si>
    <t>2025-07-15</t>
  </si>
  <si>
    <t>ORD0057</t>
  </si>
  <si>
    <t>2025-07-16</t>
  </si>
  <si>
    <t>ORD0068</t>
  </si>
  <si>
    <t>2025-07-17</t>
  </si>
  <si>
    <t>ORD0128</t>
  </si>
  <si>
    <t>2025-07-18</t>
  </si>
  <si>
    <t>ORD0080</t>
  </si>
  <si>
    <t>2025-07-20</t>
  </si>
  <si>
    <t>ORD0027</t>
  </si>
  <si>
    <t>2025-07-28</t>
  </si>
  <si>
    <t>ORD0009</t>
  </si>
  <si>
    <t>2025-07-29</t>
  </si>
  <si>
    <t>ORD0148</t>
  </si>
  <si>
    <t>ORD0183</t>
  </si>
  <si>
    <t>ORD0188</t>
  </si>
  <si>
    <t>2025-07-31</t>
  </si>
  <si>
    <t>ORD0063</t>
  </si>
  <si>
    <t>2025-08-01</t>
  </si>
  <si>
    <t>ORD0113</t>
  </si>
  <si>
    <t>ORD0164</t>
  </si>
  <si>
    <t>ORD0211</t>
  </si>
  <si>
    <t>ORD0042</t>
  </si>
  <si>
    <t>2025-08-02</t>
  </si>
  <si>
    <t>ORD0089</t>
  </si>
  <si>
    <t>2025-08-03</t>
  </si>
  <si>
    <t>ORD0239</t>
  </si>
  <si>
    <t>2025-08-04</t>
  </si>
  <si>
    <t>ORD0062</t>
  </si>
  <si>
    <t>2025-08-05</t>
  </si>
  <si>
    <t>ORD0221</t>
  </si>
  <si>
    <t>2025-08-09</t>
  </si>
  <si>
    <t>ORD0214</t>
  </si>
  <si>
    <t>2025-08-12</t>
  </si>
  <si>
    <t>ORD0123</t>
  </si>
  <si>
    <t>2025-08-14</t>
  </si>
  <si>
    <t>ORD0045</t>
  </si>
  <si>
    <t>2025-08-15</t>
  </si>
  <si>
    <t>ORD0223</t>
  </si>
  <si>
    <t>2025-08-17</t>
  </si>
  <si>
    <t>ORD0216</t>
  </si>
  <si>
    <t>2025-08-20</t>
  </si>
  <si>
    <t>ORD0180</t>
  </si>
  <si>
    <t>2025-08-22</t>
  </si>
  <si>
    <t>ORD0056</t>
  </si>
  <si>
    <t>2025-08-25</t>
  </si>
  <si>
    <t>ORD0199</t>
  </si>
  <si>
    <t>ORD0034</t>
  </si>
  <si>
    <t>2025-08-26</t>
  </si>
  <si>
    <t>ORD0036</t>
  </si>
  <si>
    <t>2025-08-28</t>
  </si>
  <si>
    <t>ORD0038</t>
  </si>
  <si>
    <t>2025-08-30</t>
  </si>
  <si>
    <t>ORD0172</t>
  </si>
  <si>
    <t>ORD0035</t>
  </si>
  <si>
    <t>2025-09-01</t>
  </si>
  <si>
    <t>ORD0206</t>
  </si>
  <si>
    <t>ORD0076</t>
  </si>
  <si>
    <t>2025-09-04</t>
  </si>
  <si>
    <t>ORD0026</t>
  </si>
  <si>
    <t>2025-09-07</t>
  </si>
  <si>
    <t>ORD0228</t>
  </si>
  <si>
    <t>2025-09-08</t>
  </si>
  <si>
    <t>ORD0170</t>
  </si>
  <si>
    <t>2025-09-09</t>
  </si>
  <si>
    <t>ORD0233</t>
  </si>
  <si>
    <t>ORD0145</t>
  </si>
  <si>
    <t>2025-09-10</t>
  </si>
  <si>
    <t>ORD0070</t>
  </si>
  <si>
    <t>2025-09-12</t>
  </si>
  <si>
    <t>ORD0052</t>
  </si>
  <si>
    <t>2025-09-14</t>
  </si>
  <si>
    <t>ORD0065</t>
  </si>
  <si>
    <t>ORD0053</t>
  </si>
  <si>
    <t>2025-09-15</t>
  </si>
  <si>
    <t>ORD0008</t>
  </si>
  <si>
    <t>2025-09-17</t>
  </si>
  <si>
    <t>ORD0111</t>
  </si>
  <si>
    <t>ORD0108</t>
  </si>
  <si>
    <t>2025-09-18</t>
  </si>
  <si>
    <t>ORD0163</t>
  </si>
  <si>
    <t>2025-09-19</t>
  </si>
  <si>
    <t>ORD0090</t>
  </si>
  <si>
    <t>2025-09-21</t>
  </si>
  <si>
    <t>ORD0107</t>
  </si>
  <si>
    <t>2025-09-22</t>
  </si>
  <si>
    <t>ORD0162</t>
  </si>
  <si>
    <t>ORD0001</t>
  </si>
  <si>
    <t>2025-09-25</t>
  </si>
  <si>
    <t>ORD0048</t>
  </si>
  <si>
    <t>2025-09-28</t>
  </si>
  <si>
    <t>ORD0006</t>
  </si>
  <si>
    <t>2025-09-30</t>
  </si>
  <si>
    <t>ORD0014</t>
  </si>
  <si>
    <t>ORD0135</t>
  </si>
  <si>
    <t>ORD0141</t>
  </si>
  <si>
    <t>ORD0041</t>
  </si>
  <si>
    <t>2025-10-03</t>
  </si>
  <si>
    <t>ORD0204</t>
  </si>
  <si>
    <t>2025-10-04</t>
  </si>
  <si>
    <t>ORD0024</t>
  </si>
  <si>
    <t>2025-10-05</t>
  </si>
  <si>
    <t>ORD0098</t>
  </si>
  <si>
    <t>ORD0012</t>
  </si>
  <si>
    <t>2025-10-13</t>
  </si>
  <si>
    <t>ORD0049</t>
  </si>
  <si>
    <t>2025-10-14</t>
  </si>
  <si>
    <t>ORD0097</t>
  </si>
  <si>
    <t>ORD0019</t>
  </si>
  <si>
    <t>2025-10-16</t>
  </si>
  <si>
    <t>ORD0091</t>
  </si>
  <si>
    <t>ORD0117</t>
  </si>
  <si>
    <t>ORD0010</t>
  </si>
  <si>
    <t>2025-10-20</t>
  </si>
  <si>
    <t>ORD0047</t>
  </si>
  <si>
    <t>ORD0100</t>
  </si>
  <si>
    <t>ORD0178</t>
  </si>
  <si>
    <t>ORD0150</t>
  </si>
  <si>
    <t>2025-10-22</t>
  </si>
  <si>
    <t>ORD0187</t>
  </si>
  <si>
    <t>2025-10-23</t>
  </si>
  <si>
    <t>ORD0136</t>
  </si>
  <si>
    <t>2025-10-26</t>
  </si>
  <si>
    <t>ORD0146</t>
  </si>
  <si>
    <t>ORD0099</t>
  </si>
  <si>
    <t>2025-10-27</t>
  </si>
  <si>
    <t>ORD0020</t>
  </si>
  <si>
    <t>2025-10-30</t>
  </si>
  <si>
    <t>ORD0087</t>
  </si>
  <si>
    <t>ORD0082</t>
  </si>
  <si>
    <t>2025-10-31</t>
  </si>
  <si>
    <t>ORD0212</t>
  </si>
  <si>
    <t>2025-11-03</t>
  </si>
  <si>
    <t>ORD0156</t>
  </si>
  <si>
    <t>2025-11-06</t>
  </si>
  <si>
    <t>ORD0198</t>
  </si>
  <si>
    <t>2025-11-12</t>
  </si>
  <si>
    <t>ORD0153</t>
  </si>
  <si>
    <t>2025-11-18</t>
  </si>
  <si>
    <t>ORD0236</t>
  </si>
  <si>
    <t>ORD0064</t>
  </si>
  <si>
    <t>2025-11-21</t>
  </si>
  <si>
    <t>ORD0205</t>
  </si>
  <si>
    <t>2025-11-24</t>
  </si>
  <si>
    <t>ORD0235</t>
  </si>
  <si>
    <t>2025-11-25</t>
  </si>
  <si>
    <t>ORD0134</t>
  </si>
  <si>
    <t>2025-11-26</t>
  </si>
  <si>
    <t>ORD0074</t>
  </si>
  <si>
    <t>2025-11-28</t>
  </si>
  <si>
    <t>ORD0133</t>
  </si>
  <si>
    <t>2025-11-29</t>
  </si>
  <si>
    <t>ORD0143</t>
  </si>
  <si>
    <t>ORD0181</t>
  </si>
  <si>
    <t>2025-12-01</t>
  </si>
  <si>
    <t>ORD0225</t>
  </si>
  <si>
    <t>2025-12-04</t>
  </si>
  <si>
    <t>ORD0152</t>
  </si>
  <si>
    <t>2025-12-07</t>
  </si>
  <si>
    <t>ORD0140</t>
  </si>
  <si>
    <t>2025-12-09</t>
  </si>
  <si>
    <t>ORD0229</t>
  </si>
  <si>
    <t>ORD0182</t>
  </si>
  <si>
    <t>2025-12-13</t>
  </si>
  <si>
    <t>ORD0046</t>
  </si>
  <si>
    <t>2025-12-17</t>
  </si>
  <si>
    <t>ORD0067</t>
  </si>
  <si>
    <t>ORD0177</t>
  </si>
  <si>
    <t>2025-12-18</t>
  </si>
  <si>
    <t>ORD0213</t>
  </si>
  <si>
    <t>2025-12-25</t>
  </si>
  <si>
    <t>ORD0002</t>
  </si>
  <si>
    <t>2025-12-28</t>
  </si>
  <si>
    <t>ORD0186</t>
  </si>
  <si>
    <t>2025-12-29</t>
  </si>
  <si>
    <t>ORD0105</t>
  </si>
  <si>
    <t>2025-12-30</t>
  </si>
  <si>
    <t>ORD0179</t>
  </si>
  <si>
    <t>ORD0096</t>
  </si>
  <si>
    <t>2025-12-31</t>
  </si>
  <si>
    <t>Project</t>
  </si>
  <si>
    <t>Sales Data Analysis using MySQL and Excel</t>
  </si>
  <si>
    <t>Dataset</t>
  </si>
  <si>
    <t>240 synthetic order lines from 2025; not real company data.</t>
  </si>
  <si>
    <t>Dashboard</t>
  </si>
  <si>
    <t>KPI values, monthly trend, regional/category summaries, charts.</t>
  </si>
  <si>
    <t>Free tools</t>
  </si>
  <si>
    <t>MySQL Community Server + Workbench; LibreOffice Calc is a free spreadsheet alternative.</t>
  </si>
  <si>
    <t>Interactivity</t>
  </si>
  <si>
    <t>Validation</t>
  </si>
  <si>
    <t>Row Labels</t>
  </si>
  <si>
    <t>Grand Total</t>
  </si>
  <si>
    <t>Sum of Sales</t>
  </si>
  <si>
    <t>Sum of Profit</t>
  </si>
  <si>
    <t>Sales and Profit by Region</t>
  </si>
  <si>
    <t>Created three PivotTables to analyze sales and profit by Region, Product Category, and Sales Channel. Added and connected interactive slicers for Region, Category, and Channel.</t>
  </si>
  <si>
    <t>Validated dashboard KPI totals against SQL results. PivotTable Grand Totals match the overall sales and profit totals.</t>
  </si>
  <si>
    <t>Sales and Profit by Category</t>
  </si>
  <si>
    <t>Sales and Profit by Channel</t>
  </si>
  <si>
    <t xml:space="preserve"> 2025 Sales Performance Dashboard</t>
  </si>
  <si>
    <t>Monthly Trend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</si>
</sst>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quot;₹&quot;#,##0.00"/>
    <numFmt numFmtId="166" formatCode="&quot;₹&quot;#,##0"/>
    <numFmt numFmtId="167" formatCode="0.0%"/>
  </numFmts>
  <fonts count="9" x14ac:knownFonts="1">
    <font>
      <sz val="11"/>
      <color theme="1"/>
      <name val="Calibri"/>
      <family val="2"/>
      <scheme val="minor"/>
    </font>
    <font>
      <b/>
      <sz val="11"/>
      <color rgb="FFFFFFFF"/>
      <name val="Calibri"/>
    </font>
    <font>
      <b/>
      <sz val="14"/>
      <color theme="1"/>
      <name val="Calibri"/>
      <family val="2"/>
      <scheme val="minor"/>
    </font>
    <font>
      <sz val="11"/>
      <color theme="0"/>
      <name val="Calibri"/>
      <family val="2"/>
      <scheme val="minor"/>
    </font>
    <font>
      <b/>
      <sz val="16"/>
      <name val="Calibri"/>
      <family val="2"/>
    </font>
    <font>
      <sz val="22"/>
      <color theme="0"/>
      <name val="Calibri"/>
      <family val="2"/>
      <scheme val="minor"/>
    </font>
    <font>
      <b/>
      <sz val="12"/>
      <color theme="1"/>
      <name val="Calibri"/>
      <family val="2"/>
      <scheme val="minor"/>
    </font>
    <font>
      <b/>
      <sz val="11"/>
      <color theme="1"/>
      <name val="Calibri"/>
      <family val="2"/>
    </font>
    <font>
      <sz val="11"/>
      <color theme="1"/>
      <name val="Calibri"/>
      <family val="2"/>
      <scheme val="minor"/>
    </font>
  </fonts>
  <fills count="11">
    <fill>
      <patternFill patternType="none"/>
    </fill>
    <fill>
      <patternFill patternType="gray125"/>
    </fill>
    <fill>
      <patternFill patternType="solid">
        <fgColor rgb="FF17365D"/>
      </patternFill>
    </fill>
    <fill>
      <patternFill patternType="solid">
        <fgColor rgb="FF4472C4"/>
      </patternFill>
    </fill>
    <fill>
      <patternFill patternType="solid">
        <fgColor theme="3" tint="0.39997558519241921"/>
        <bgColor indexed="64"/>
      </patternFill>
    </fill>
    <fill>
      <patternFill patternType="solid">
        <fgColor theme="8" tint="-0.249977111117893"/>
        <bgColor indexed="64"/>
      </patternFill>
    </fill>
    <fill>
      <patternFill patternType="solid">
        <fgColor theme="3" tint="-0.249977111117893"/>
        <bgColor indexed="64"/>
      </patternFill>
    </fill>
    <fill>
      <patternFill patternType="solid">
        <fgColor theme="0"/>
        <bgColor indexed="64"/>
      </patternFill>
    </fill>
    <fill>
      <patternFill patternType="solid">
        <fgColor theme="3" tint="0.79998168889431442"/>
        <bgColor indexed="64"/>
      </patternFill>
    </fill>
    <fill>
      <patternFill patternType="solid">
        <fgColor theme="2"/>
        <bgColor indexed="64"/>
      </patternFill>
    </fill>
    <fill>
      <gradientFill type="path" left="1" right="1" top="1" bottom="1">
        <stop position="0">
          <color theme="0"/>
        </stop>
        <stop position="1">
          <color theme="0" tint="-0.25098422193060094"/>
        </stop>
      </gradientFill>
    </fill>
  </fills>
  <borders count="3">
    <border>
      <left/>
      <right/>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s>
  <cellStyleXfs count="2">
    <xf numFmtId="0" fontId="0" fillId="0" borderId="0"/>
    <xf numFmtId="9" fontId="8" fillId="0" borderId="0" applyFont="0" applyFill="0" applyBorder="0" applyAlignment="0" applyProtection="0"/>
  </cellStyleXfs>
  <cellXfs count="26">
    <xf numFmtId="0" fontId="0" fillId="0" borderId="0" xfId="0"/>
    <xf numFmtId="0" fontId="1" fillId="3" borderId="0" xfId="0" applyFont="1" applyFill="1"/>
    <xf numFmtId="0" fontId="1" fillId="2" borderId="0" xfId="0" applyFont="1" applyFill="1"/>
    <xf numFmtId="164" fontId="0" fillId="0" borderId="0" xfId="0" applyNumberFormat="1"/>
    <xf numFmtId="165" fontId="0" fillId="0" borderId="0" xfId="0" applyNumberFormat="1"/>
    <xf numFmtId="9" fontId="0" fillId="0" borderId="0" xfId="0" applyNumberFormat="1"/>
    <xf numFmtId="0" fontId="0" fillId="0" borderId="0" xfId="0" applyAlignment="1">
      <alignment horizontal="left"/>
    </xf>
    <xf numFmtId="0" fontId="0" fillId="0" borderId="0" xfId="0" pivotButton="1"/>
    <xf numFmtId="0" fontId="0" fillId="0" borderId="0" xfId="0" applyAlignment="1">
      <alignment wrapText="1"/>
    </xf>
    <xf numFmtId="0" fontId="2" fillId="5" borderId="0" xfId="0" applyFont="1" applyFill="1"/>
    <xf numFmtId="0" fontId="6" fillId="0" borderId="0" xfId="0" applyFont="1"/>
    <xf numFmtId="0" fontId="0" fillId="7" borderId="0" xfId="0" applyFill="1"/>
    <xf numFmtId="0" fontId="1" fillId="7" borderId="0" xfId="0" applyFont="1" applyFill="1"/>
    <xf numFmtId="166" fontId="0" fillId="7" borderId="0" xfId="0" applyNumberFormat="1" applyFill="1"/>
    <xf numFmtId="0" fontId="0" fillId="8" borderId="0" xfId="0" applyFill="1"/>
    <xf numFmtId="166" fontId="0" fillId="8" borderId="0" xfId="0" applyNumberFormat="1" applyFill="1"/>
    <xf numFmtId="0" fontId="0" fillId="9" borderId="0" xfId="0" applyFill="1"/>
    <xf numFmtId="0" fontId="0" fillId="9" borderId="0" xfId="0" applyFill="1" applyAlignment="1">
      <alignment horizontal="left"/>
    </xf>
    <xf numFmtId="0" fontId="1" fillId="9" borderId="0" xfId="0" applyFont="1" applyFill="1"/>
    <xf numFmtId="166" fontId="0" fillId="9" borderId="0" xfId="0" applyNumberFormat="1" applyFill="1"/>
    <xf numFmtId="0" fontId="7" fillId="10" borderId="1" xfId="0" applyFont="1" applyFill="1" applyBorder="1" applyAlignment="1">
      <alignment horizontal="center" vertical="center"/>
    </xf>
    <xf numFmtId="166" fontId="4" fillId="10" borderId="2" xfId="0" applyNumberFormat="1" applyFont="1" applyFill="1" applyBorder="1" applyAlignment="1">
      <alignment horizontal="center"/>
    </xf>
    <xf numFmtId="167" fontId="4" fillId="10" borderId="2" xfId="1" applyNumberFormat="1" applyFont="1" applyFill="1" applyBorder="1" applyAlignment="1">
      <alignment horizontal="center"/>
    </xf>
    <xf numFmtId="166" fontId="4" fillId="10" borderId="2" xfId="0" applyNumberFormat="1" applyFont="1" applyFill="1" applyBorder="1" applyAlignment="1">
      <alignment horizontal="center" vertical="center"/>
    </xf>
    <xf numFmtId="0" fontId="5" fillId="6" borderId="0" xfId="0" applyFont="1" applyFill="1" applyAlignment="1">
      <alignment horizontal="center" vertical="center"/>
    </xf>
    <xf numFmtId="0" fontId="3" fillId="4" borderId="0" xfId="0" applyFont="1" applyFill="1" applyAlignment="1">
      <alignment horizont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1"/>
        <c:ser>
          <c:idx val="0"/>
          <c:order val="0"/>
          <c:tx>
            <c:strRef>
              <c:f>'summary data '!$F$1:$F$2</c:f>
              <c:strCache>
                <c:ptCount val="2"/>
                <c:pt idx="0">
                  <c:v>Regional Performance</c:v>
                </c:pt>
                <c:pt idx="1">
                  <c:v>Sales</c:v>
                </c:pt>
              </c:strCache>
            </c:strRef>
          </c:tx>
          <c:invertIfNegative val="0"/>
          <c:dPt>
            <c:idx val="0"/>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AF48-4A2E-B01B-870EA7679BF0}"/>
              </c:ext>
            </c:extLst>
          </c:dPt>
          <c:dPt>
            <c:idx val="1"/>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AF48-4A2E-B01B-870EA7679BF0}"/>
              </c:ext>
            </c:extLst>
          </c:dPt>
          <c:dPt>
            <c:idx val="2"/>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5-AF48-4A2E-B01B-870EA7679BF0}"/>
              </c:ext>
            </c:extLst>
          </c:dPt>
          <c:dPt>
            <c:idx val="3"/>
            <c:invertIfNegative val="0"/>
            <c:bubble3D val="0"/>
            <c:spPr>
              <a:solidFill>
                <a:schemeClr val="accent4">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7-AF48-4A2E-B01B-870EA7679BF0}"/>
              </c:ext>
            </c:extLst>
          </c:dPt>
          <c:dPt>
            <c:idx val="4"/>
            <c:invertIfNegative val="0"/>
            <c:bubble3D val="0"/>
            <c:spPr>
              <a:solidFill>
                <a:schemeClr val="accent5">
                  <a:alpha val="85000"/>
                </a:schemeClr>
              </a:solidFill>
              <a:ln w="9525" cap="flat" cmpd="sng" algn="ctr">
                <a:solidFill>
                  <a:schemeClr val="lt1">
                    <a:alpha val="50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'summary data '!$E$3:$E$7</c:f>
              <c:strCache>
                <c:ptCount val="5"/>
                <c:pt idx="0">
                  <c:v>South</c:v>
                </c:pt>
                <c:pt idx="1">
                  <c:v>East</c:v>
                </c:pt>
                <c:pt idx="2">
                  <c:v>North</c:v>
                </c:pt>
                <c:pt idx="3">
                  <c:v>Central</c:v>
                </c:pt>
                <c:pt idx="4">
                  <c:v>West</c:v>
                </c:pt>
              </c:strCache>
            </c:strRef>
          </c:cat>
          <c:val>
            <c:numRef>
              <c:f>'summary data '!$F$3:$F$7</c:f>
              <c:numCache>
                <c:formatCode>"₹"#,##0</c:formatCode>
                <c:ptCount val="5"/>
                <c:pt idx="0">
                  <c:v>1899005</c:v>
                </c:pt>
                <c:pt idx="1">
                  <c:v>1597210</c:v>
                </c:pt>
                <c:pt idx="2">
                  <c:v>1278862.5</c:v>
                </c:pt>
                <c:pt idx="3">
                  <c:v>1165667.5</c:v>
                </c:pt>
                <c:pt idx="4">
                  <c:v>1008320</c:v>
                </c:pt>
              </c:numCache>
            </c:numRef>
          </c:val>
          <c:extLst>
            <c:ext xmlns:c16="http://schemas.microsoft.com/office/drawing/2014/chart" uri="{C3380CC4-5D6E-409C-BE32-E72D297353CC}">
              <c16:uniqueId val="{00000003-5424-4B9D-9986-7C62200C3C74}"/>
            </c:ext>
          </c:extLst>
        </c:ser>
        <c:dLbls>
          <c:dLblPos val="inEnd"/>
          <c:showLegendKey val="0"/>
          <c:showVal val="1"/>
          <c:showCatName val="0"/>
          <c:showSerName val="0"/>
          <c:showPercent val="0"/>
          <c:showBubbleSize val="0"/>
        </c:dLbls>
        <c:gapWidth val="65"/>
        <c:axId val="10"/>
        <c:axId val="100"/>
      </c:barChart>
      <c:catAx>
        <c:axId val="1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max val="2000000"/>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
        <c:crosses val="autoZero"/>
        <c:crossBetween val="between"/>
        <c:majorUnit val="500000"/>
      </c:valAx>
      <c:spPr>
        <a:noFill/>
        <a:ln>
          <a:noFill/>
        </a:ln>
        <a:effectLst/>
      </c:spPr>
    </c:plotArea>
    <c:plotVisOnly val="1"/>
    <c:dispBlanksAs val="gap"/>
    <c:showDLblsOverMax val="1"/>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r>
              <a:rPr lang="en-IN" b="1">
                <a:solidFill>
                  <a:schemeClr val="bg1">
                    <a:lumMod val="50000"/>
                  </a:schemeClr>
                </a:solidFill>
              </a:rPr>
              <a:t>Sales by Product Category</a:t>
            </a:r>
            <a:endParaRPr lang="en-US" b="1">
              <a:solidFill>
                <a:schemeClr val="bg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endParaRPr lang="en-US"/>
        </a:p>
      </c:txPr>
    </c:title>
    <c:autoTitleDeleted val="0"/>
    <c:plotArea>
      <c:layout>
        <c:manualLayout>
          <c:layoutTarget val="inner"/>
          <c:xMode val="edge"/>
          <c:yMode val="edge"/>
          <c:x val="0.19158097260290699"/>
          <c:y val="0.2162043947959908"/>
          <c:w val="0.747419072615923"/>
          <c:h val="0.69827172645086033"/>
        </c:manualLayout>
      </c:layout>
      <c:barChart>
        <c:barDir val="bar"/>
        <c:grouping val="clustered"/>
        <c:varyColors val="0"/>
        <c:ser>
          <c:idx val="0"/>
          <c:order val="0"/>
          <c:tx>
            <c:strRef>
              <c:f>'summary data '!$B$17</c:f>
              <c:strCache>
                <c:ptCount val="1"/>
                <c:pt idx="0">
                  <c:v>Sales</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Lbls>
            <c:numFmt formatCode="&quot;₹&quot;\ #,##0.0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'summary data '!$A$18:$A$21</c:f>
              <c:strCache>
                <c:ptCount val="4"/>
                <c:pt idx="0">
                  <c:v>Computers</c:v>
                </c:pt>
                <c:pt idx="1">
                  <c:v>Monitors</c:v>
                </c:pt>
                <c:pt idx="2">
                  <c:v>Storage</c:v>
                </c:pt>
                <c:pt idx="3">
                  <c:v>Accessories</c:v>
                </c:pt>
              </c:strCache>
            </c:strRef>
          </c:cat>
          <c:val>
            <c:numRef>
              <c:f>'summary data '!$B$18:$B$21</c:f>
              <c:numCache>
                <c:formatCode>General</c:formatCode>
                <c:ptCount val="4"/>
                <c:pt idx="0">
                  <c:v>5284525</c:v>
                </c:pt>
                <c:pt idx="1">
                  <c:v>741230</c:v>
                </c:pt>
                <c:pt idx="2">
                  <c:v>619240</c:v>
                </c:pt>
                <c:pt idx="3">
                  <c:v>304070</c:v>
                </c:pt>
              </c:numCache>
            </c:numRef>
          </c:val>
          <c:extLst>
            <c:ext xmlns:c16="http://schemas.microsoft.com/office/drawing/2014/chart" uri="{C3380CC4-5D6E-409C-BE32-E72D297353CC}">
              <c16:uniqueId val="{00000000-8BE9-4788-9A6D-3D2090D9EA80}"/>
            </c:ext>
          </c:extLst>
        </c:ser>
        <c:dLbls>
          <c:dLblPos val="inEnd"/>
          <c:showLegendKey val="0"/>
          <c:showVal val="1"/>
          <c:showCatName val="0"/>
          <c:showSerName val="0"/>
          <c:showPercent val="0"/>
          <c:showBubbleSize val="0"/>
        </c:dLbls>
        <c:gapWidth val="100"/>
        <c:axId val="1658187871"/>
        <c:axId val="1411945647"/>
      </c:barChart>
      <c:catAx>
        <c:axId val="1658187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1411945647"/>
        <c:crosses val="autoZero"/>
        <c:auto val="1"/>
        <c:lblAlgn val="ctr"/>
        <c:lblOffset val="100"/>
        <c:noMultiLvlLbl val="0"/>
      </c:catAx>
      <c:valAx>
        <c:axId val="1411945647"/>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165818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prstDash val="solid"/>
      <a:round/>
    </a:ln>
    <a:effectLst>
      <a:outerShdw blurRad="40000" dist="20000" dir="5400000" rotWithShape="0">
        <a:srgbClr val="000000">
          <a:alpha val="38000"/>
        </a:srgbClr>
      </a:outerShdw>
    </a:effectLst>
    <a:scene3d>
      <a:camera prst="orthographicFront"/>
      <a:lightRig rig="threePt" dir="t"/>
    </a:scene3d>
    <a:sp3d prstMaterial="matte">
      <a:bevelT w="63500" h="63500" prst="artDeco"/>
      <a:contourClr>
        <a:srgbClr val="000000"/>
      </a:contourClr>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solidFill>
                  <a:schemeClr val="bg1">
                    <a:lumMod val="50000"/>
                  </a:schemeClr>
                </a:solidFill>
              </a:rPr>
              <a:t>Monthly Profit Trend</a:t>
            </a:r>
            <a:endParaRPr lang="en-US">
              <a:solidFill>
                <a:schemeClr val="bg1">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cat>
            <c:strRef>
              <c:extLst>
                <c:ext xmlns:c15="http://schemas.microsoft.com/office/drawing/2012/chart" uri="{02D57815-91ED-43cb-92C2-25804820EDAC}">
                  <c15:fullRef>
                    <c15:sqref>'summary data '!$A$1:$A$14</c15:sqref>
                  </c15:fullRef>
                </c:ext>
              </c:extLst>
              <c:f>('summary data '!$A$1,'summary data '!$A$3:$A$14)</c:f>
              <c:strCache>
                <c:ptCount val="13"/>
                <c:pt idx="0">
                  <c:v>Monthly Trend table</c:v>
                </c:pt>
                <c:pt idx="1">
                  <c:v>2025-01</c:v>
                </c:pt>
                <c:pt idx="2">
                  <c:v>2025-02</c:v>
                </c:pt>
                <c:pt idx="3">
                  <c:v>2025-03</c:v>
                </c:pt>
                <c:pt idx="4">
                  <c:v>2025-04</c:v>
                </c:pt>
                <c:pt idx="5">
                  <c:v>2025-05</c:v>
                </c:pt>
                <c:pt idx="6">
                  <c:v>2025-06</c:v>
                </c:pt>
                <c:pt idx="7">
                  <c:v>2025-07</c:v>
                </c:pt>
                <c:pt idx="8">
                  <c:v>2025-08</c:v>
                </c:pt>
                <c:pt idx="9">
                  <c:v>2025-09</c:v>
                </c:pt>
                <c:pt idx="10">
                  <c:v>2025-10</c:v>
                </c:pt>
                <c:pt idx="11">
                  <c:v>2025-11</c:v>
                </c:pt>
                <c:pt idx="12">
                  <c:v>2025-12</c:v>
                </c:pt>
              </c:strCache>
            </c:strRef>
          </c:cat>
          <c:val>
            <c:numRef>
              <c:extLst>
                <c:ext xmlns:c15="http://schemas.microsoft.com/office/drawing/2012/chart" uri="{02D57815-91ED-43cb-92C2-25804820EDAC}">
                  <c15:fullRef>
                    <c15:sqref>'summary data '!$C$1:$C$14</c15:sqref>
                  </c15:fullRef>
                </c:ext>
              </c:extLst>
              <c:f>('summary data '!$C$1,'summary data '!$C$3:$C$14)</c:f>
              <c:numCache>
                <c:formatCode>General</c:formatCode>
                <c:ptCount val="13"/>
                <c:pt idx="1" formatCode="&quot;₹&quot;#,##0">
                  <c:v>92012.5</c:v>
                </c:pt>
                <c:pt idx="2" formatCode="&quot;₹&quot;#,##0">
                  <c:v>114820</c:v>
                </c:pt>
                <c:pt idx="3" formatCode="&quot;₹&quot;#,##0">
                  <c:v>104037.5</c:v>
                </c:pt>
                <c:pt idx="4" formatCode="&quot;₹&quot;#,##0">
                  <c:v>61285</c:v>
                </c:pt>
                <c:pt idx="5" formatCode="&quot;₹&quot;#,##0">
                  <c:v>96947.5</c:v>
                </c:pt>
                <c:pt idx="6" formatCode="&quot;₹&quot;#,##0">
                  <c:v>43080</c:v>
                </c:pt>
                <c:pt idx="7" formatCode="&quot;₹&quot;#,##0">
                  <c:v>104740</c:v>
                </c:pt>
                <c:pt idx="8" formatCode="&quot;₹&quot;#,##0">
                  <c:v>108645</c:v>
                </c:pt>
                <c:pt idx="9" formatCode="&quot;₹&quot;#,##0">
                  <c:v>129010</c:v>
                </c:pt>
                <c:pt idx="10" formatCode="&quot;₹&quot;#,##0">
                  <c:v>110705</c:v>
                </c:pt>
                <c:pt idx="11" formatCode="&quot;₹&quot;#,##0">
                  <c:v>48887.5</c:v>
                </c:pt>
                <c:pt idx="12" formatCode="&quot;₹&quot;#,##0">
                  <c:v>48705</c:v>
                </c:pt>
              </c:numCache>
            </c:numRef>
          </c:val>
          <c:smooth val="0"/>
          <c:extLst>
            <c:ext xmlns:c16="http://schemas.microsoft.com/office/drawing/2014/chart" uri="{C3380CC4-5D6E-409C-BE32-E72D297353CC}">
              <c16:uniqueId val="{00000000-1E50-43A7-BFD8-70C49D0C692A}"/>
            </c:ext>
          </c:extLst>
        </c:ser>
        <c:dLbls>
          <c:showLegendKey val="0"/>
          <c:showVal val="0"/>
          <c:showCatName val="0"/>
          <c:showSerName val="0"/>
          <c:showPercent val="0"/>
          <c:showBubbleSize val="0"/>
        </c:dLbls>
        <c:smooth val="0"/>
        <c:axId val="1656148831"/>
        <c:axId val="1734899983"/>
      </c:lineChart>
      <c:catAx>
        <c:axId val="165614883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1734899983"/>
        <c:crosses val="autoZero"/>
        <c:auto val="1"/>
        <c:lblAlgn val="ctr"/>
        <c:lblOffset val="100"/>
        <c:noMultiLvlLbl val="0"/>
      </c:catAx>
      <c:valAx>
        <c:axId val="1734899983"/>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IN" sz="900" b="1" i="0" u="none" strike="noStrike" baseline="0">
                    <a:solidFill>
                      <a:schemeClr val="bg1">
                        <a:lumMod val="50000"/>
                      </a:schemeClr>
                    </a:solidFill>
                  </a:rPr>
                  <a:t>Profit (₹)</a:t>
                </a:r>
                <a:endParaRPr lang="en-IN">
                  <a:solidFill>
                    <a:schemeClr val="bg1">
                      <a:lumMod val="50000"/>
                    </a:schemeClr>
                  </a:solidFill>
                </a:endParaRP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165614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prstDash val="solid"/>
      <a:round/>
    </a:ln>
    <a:effectLst>
      <a:outerShdw blurRad="40000" dist="20000" dir="5400000" rotWithShape="0">
        <a:srgbClr val="000000">
          <a:alpha val="38000"/>
        </a:srgbClr>
      </a:outerShdw>
    </a:effectLst>
    <a:scene3d>
      <a:camera prst="orthographicFront"/>
      <a:lightRig rig="threePt" dir="t"/>
    </a:scene3d>
    <a:sp3d prstMaterial="matte">
      <a:bevelT w="63500" h="63500" prst="artDeco"/>
      <a:contourClr>
        <a:srgbClr val="000000"/>
      </a:contourClr>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sz="1600" b="1">
                <a:solidFill>
                  <a:schemeClr val="bg1">
                    <a:lumMod val="50000"/>
                  </a:schemeClr>
                </a:solidFill>
              </a:rPr>
              <a:t>Monthly Sales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strRef>
              <c:f>'summary data '!$B$1:$B$2</c:f>
              <c:strCache>
                <c:ptCount val="2"/>
                <c:pt idx="0">
                  <c:v>Monthly Trend table</c:v>
                </c:pt>
                <c:pt idx="1">
                  <c:v>Sales</c:v>
                </c:pt>
              </c:strCache>
            </c:strRef>
          </c:tx>
          <c:spPr>
            <a:ln w="22225" cap="rnd" cmpd="sng" algn="ctr">
              <a:solidFill>
                <a:schemeClr val="accent1"/>
              </a:solidFill>
              <a:round/>
            </a:ln>
            <a:effectLst/>
          </c:spPr>
          <c:marker>
            <c:symbol val="none"/>
          </c:marker>
          <c:cat>
            <c:strRef>
              <c:f>'summary data '!$A$3:$A$14</c:f>
              <c:strCache>
                <c:ptCount val="12"/>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strCache>
            </c:strRef>
          </c:cat>
          <c:val>
            <c:numRef>
              <c:f>'summary data '!$B$3:$B$14</c:f>
              <c:numCache>
                <c:formatCode>"₹"#,##0</c:formatCode>
                <c:ptCount val="12"/>
                <c:pt idx="0">
                  <c:v>474742.5</c:v>
                </c:pt>
                <c:pt idx="1">
                  <c:v>816200</c:v>
                </c:pt>
                <c:pt idx="2">
                  <c:v>915047.5</c:v>
                </c:pt>
                <c:pt idx="3">
                  <c:v>347755</c:v>
                </c:pt>
                <c:pt idx="4">
                  <c:v>564087.5</c:v>
                </c:pt>
                <c:pt idx="5">
                  <c:v>271490</c:v>
                </c:pt>
                <c:pt idx="6">
                  <c:v>614930</c:v>
                </c:pt>
                <c:pt idx="7">
                  <c:v>801885</c:v>
                </c:pt>
                <c:pt idx="8">
                  <c:v>855570</c:v>
                </c:pt>
                <c:pt idx="9">
                  <c:v>667565</c:v>
                </c:pt>
                <c:pt idx="10">
                  <c:v>380167.5</c:v>
                </c:pt>
                <c:pt idx="11">
                  <c:v>239625</c:v>
                </c:pt>
              </c:numCache>
            </c:numRef>
          </c:val>
          <c:smooth val="0"/>
          <c:extLst>
            <c:ext xmlns:c16="http://schemas.microsoft.com/office/drawing/2014/chart" uri="{C3380CC4-5D6E-409C-BE32-E72D297353CC}">
              <c16:uniqueId val="{00000000-7D3D-46DB-9170-223D47B6CBB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382877840"/>
        <c:axId val="103747120"/>
      </c:lineChart>
      <c:catAx>
        <c:axId val="38287784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bg1">
                    <a:lumMod val="50000"/>
                  </a:schemeClr>
                </a:solidFill>
                <a:latin typeface="+mn-lt"/>
                <a:ea typeface="+mn-ea"/>
                <a:cs typeface="+mn-cs"/>
              </a:defRPr>
            </a:pPr>
            <a:endParaRPr lang="en-US"/>
          </a:p>
        </c:txPr>
        <c:crossAx val="103747120"/>
        <c:crosses val="autoZero"/>
        <c:auto val="1"/>
        <c:lblAlgn val="ctr"/>
        <c:lblOffset val="100"/>
        <c:noMultiLvlLbl val="0"/>
      </c:catAx>
      <c:valAx>
        <c:axId val="103747120"/>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82877840"/>
        <c:crosses val="autoZero"/>
        <c:crossBetween val="between"/>
        <c:majorUnit val="200000"/>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535407</xdr:colOff>
      <xdr:row>24</xdr:row>
      <xdr:rowOff>80633</xdr:rowOff>
    </xdr:from>
    <xdr:ext cx="5940000" cy="306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6</xdr:col>
      <xdr:colOff>1067191</xdr:colOff>
      <xdr:row>24</xdr:row>
      <xdr:rowOff>126211</xdr:rowOff>
    </xdr:from>
    <xdr:to>
      <xdr:col>14</xdr:col>
      <xdr:colOff>383269</xdr:colOff>
      <xdr:row>40</xdr:row>
      <xdr:rowOff>161976</xdr:rowOff>
    </xdr:to>
    <xdr:graphicFrame macro="">
      <xdr:nvGraphicFramePr>
        <xdr:cNvPr id="4" name="Chart 3">
          <a:extLst>
            <a:ext uri="{FF2B5EF4-FFF2-40B4-BE49-F238E27FC236}">
              <a16:creationId xmlns:a16="http://schemas.microsoft.com/office/drawing/2014/main" id="{3CE6403E-8564-7C2E-12C4-4557AD0AAF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1119598</xdr:colOff>
      <xdr:row>6</xdr:row>
      <xdr:rowOff>184520</xdr:rowOff>
    </xdr:from>
    <xdr:to>
      <xdr:col>14</xdr:col>
      <xdr:colOff>435676</xdr:colOff>
      <xdr:row>23</xdr:row>
      <xdr:rowOff>33520</xdr:rowOff>
    </xdr:to>
    <xdr:graphicFrame macro="">
      <xdr:nvGraphicFramePr>
        <xdr:cNvPr id="5" name="Chart 4">
          <a:extLst>
            <a:ext uri="{FF2B5EF4-FFF2-40B4-BE49-F238E27FC236}">
              <a16:creationId xmlns:a16="http://schemas.microsoft.com/office/drawing/2014/main" id="{A69FDDAF-772A-AEB9-07F7-51B1C5CED2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571499</xdr:colOff>
      <xdr:row>7</xdr:row>
      <xdr:rowOff>39510</xdr:rowOff>
    </xdr:from>
    <xdr:to>
      <xdr:col>4</xdr:col>
      <xdr:colOff>1240999</xdr:colOff>
      <xdr:row>23</xdr:row>
      <xdr:rowOff>51510</xdr:rowOff>
    </xdr:to>
    <xdr:graphicFrame macro="">
      <xdr:nvGraphicFramePr>
        <xdr:cNvPr id="6" name="Chart 5">
          <a:extLst>
            <a:ext uri="{FF2B5EF4-FFF2-40B4-BE49-F238E27FC236}">
              <a16:creationId xmlns:a16="http://schemas.microsoft.com/office/drawing/2014/main" id="{AD07F544-CED5-56D6-A514-12556885D2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177800</xdr:colOff>
      <xdr:row>1</xdr:row>
      <xdr:rowOff>63501</xdr:rowOff>
    </xdr:from>
    <xdr:to>
      <xdr:col>7</xdr:col>
      <xdr:colOff>177800</xdr:colOff>
      <xdr:row>10</xdr:row>
      <xdr:rowOff>127001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C15CB31E-B21F-8365-CAE2-CD4F126E8C4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390900" y="298451"/>
              <a:ext cx="1828800" cy="1720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514350</xdr:colOff>
      <xdr:row>1</xdr:row>
      <xdr:rowOff>57150</xdr:rowOff>
    </xdr:from>
    <xdr:to>
      <xdr:col>10</xdr:col>
      <xdr:colOff>514350</xdr:colOff>
      <xdr:row>10</xdr:row>
      <xdr:rowOff>120650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B01E2F40-3763-1403-99D0-F3EDDDE3C4D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556250" y="292100"/>
              <a:ext cx="1828800" cy="1720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152400</xdr:colOff>
      <xdr:row>1</xdr:row>
      <xdr:rowOff>50800</xdr:rowOff>
    </xdr:from>
    <xdr:to>
      <xdr:col>14</xdr:col>
      <xdr:colOff>152400</xdr:colOff>
      <xdr:row>10</xdr:row>
      <xdr:rowOff>107950</xdr:rowOff>
    </xdr:to>
    <mc:AlternateContent xmlns:mc="http://schemas.openxmlformats.org/markup-compatibility/2006" xmlns:a14="http://schemas.microsoft.com/office/drawing/2010/main">
      <mc:Choice Requires="a14">
        <xdr:graphicFrame macro="">
          <xdr:nvGraphicFramePr>
            <xdr:cNvPr id="4" name="Channel">
              <a:extLst>
                <a:ext uri="{FF2B5EF4-FFF2-40B4-BE49-F238E27FC236}">
                  <a16:creationId xmlns:a16="http://schemas.microsoft.com/office/drawing/2014/main" id="{2F57B4A2-850A-BA97-FC32-98A09FCF77BD}"/>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7632700" y="285750"/>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ehal" refreshedDate="46308.873617476849" createdVersion="8" refreshedVersion="8" minRefreshableVersion="3" recordCount="240" xr:uid="{0FCCAF37-57CE-4627-B142-6507C53B85EE}">
  <cacheSource type="worksheet">
    <worksheetSource name="SalesData"/>
  </cacheSource>
  <cacheFields count="12">
    <cacheField name="OrderID" numFmtId="0">
      <sharedItems/>
    </cacheField>
    <cacheField name="OrderDate" numFmtId="164">
      <sharedItems/>
    </cacheField>
    <cacheField name="Region" numFmtId="0">
      <sharedItems count="5">
        <s v="Central"/>
        <s v="North"/>
        <s v="East"/>
        <s v="West"/>
        <s v="South"/>
      </sharedItems>
    </cacheField>
    <cacheField name="Channel" numFmtId="0">
      <sharedItems count="3">
        <s v="Retail"/>
        <s v="Partner"/>
        <s v="Online"/>
      </sharedItems>
    </cacheField>
    <cacheField name="Product" numFmtId="0">
      <sharedItems/>
    </cacheField>
    <cacheField name="Category" numFmtId="0">
      <sharedItems count="4">
        <s v="Monitors"/>
        <s v="Accessories"/>
        <s v="Storage"/>
        <s v="Computers"/>
      </sharedItems>
    </cacheField>
    <cacheField name="Quantity" numFmtId="0">
      <sharedItems containsSemiMixedTypes="0" containsString="0" containsNumber="1" containsInteger="1" minValue="1" maxValue="5"/>
    </cacheField>
    <cacheField name="UnitPrice" numFmtId="165">
      <sharedItems containsSemiMixedTypes="0" containsString="0" containsNumber="1" containsInteger="1" minValue="650" maxValue="58000"/>
    </cacheField>
    <cacheField name="DiscountPct" numFmtId="9">
      <sharedItems containsSemiMixedTypes="0" containsString="0" containsNumber="1" minValue="0" maxValue="0.15"/>
    </cacheField>
    <cacheField name="Sales" numFmtId="165">
      <sharedItems containsSemiMixedTypes="0" containsString="0" containsNumber="1" minValue="552.5" maxValue="246500"/>
    </cacheField>
    <cacheField name="Cost" numFmtId="165">
      <sharedItems containsSemiMixedTypes="0" containsString="0" containsNumber="1" containsInteger="1" minValue="390" maxValue="232500"/>
    </cacheField>
    <cacheField name="Profit" numFmtId="165">
      <sharedItems containsSemiMixedTypes="0" containsString="0" containsNumber="1" minValue="162.5" maxValue="34500"/>
    </cacheField>
  </cacheFields>
  <extLst>
    <ext xmlns:x14="http://schemas.microsoft.com/office/spreadsheetml/2009/9/main" uri="{725AE2AE-9491-48be-B2B4-4EB974FC3084}">
      <x14:pivotCacheDefinition pivotCacheId="9030129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s v="ORD0193"/>
    <s v="2025-01-02"/>
    <x v="0"/>
    <x v="0"/>
    <s v="27-inch Monitor"/>
    <x v="0"/>
    <n v="5"/>
    <n v="14500"/>
    <n v="0.1"/>
    <n v="65250"/>
    <n v="56000"/>
    <n v="9250"/>
  </r>
  <r>
    <s v="ORD0102"/>
    <s v="2025-01-04"/>
    <x v="1"/>
    <x v="0"/>
    <s v="USB-C Hub"/>
    <x v="1"/>
    <n v="2"/>
    <n v="1450"/>
    <n v="0.1"/>
    <n v="2610"/>
    <n v="1800"/>
    <n v="810"/>
  </r>
  <r>
    <s v="ORD0078"/>
    <s v="2025-01-05"/>
    <x v="2"/>
    <x v="1"/>
    <s v="External HDD 2TB"/>
    <x v="2"/>
    <n v="3"/>
    <n v="4900"/>
    <n v="0"/>
    <n v="14700"/>
    <n v="10800"/>
    <n v="3900"/>
  </r>
  <r>
    <s v="ORD0112"/>
    <s v="2025-01-05"/>
    <x v="3"/>
    <x v="0"/>
    <s v="Budget Laptop"/>
    <x v="3"/>
    <n v="4"/>
    <n v="38500"/>
    <n v="0"/>
    <n v="154000"/>
    <n v="124000"/>
    <n v="30000"/>
  </r>
  <r>
    <s v="ORD0033"/>
    <s v="2025-01-06"/>
    <x v="4"/>
    <x v="0"/>
    <s v="Laptop Stand"/>
    <x v="1"/>
    <n v="5"/>
    <n v="950"/>
    <n v="0.15"/>
    <n v="4037.5"/>
    <n v="2700"/>
    <n v="1337.5"/>
  </r>
  <r>
    <s v="ORD0084"/>
    <s v="2025-01-09"/>
    <x v="3"/>
    <x v="2"/>
    <s v="Business Laptop"/>
    <x v="3"/>
    <n v="1"/>
    <n v="58000"/>
    <n v="0"/>
    <n v="58000"/>
    <n v="46500"/>
    <n v="11500"/>
  </r>
  <r>
    <s v="ORD0157"/>
    <s v="2025-01-09"/>
    <x v="2"/>
    <x v="0"/>
    <s v="Laptop Stand"/>
    <x v="1"/>
    <n v="1"/>
    <n v="950"/>
    <n v="0.05"/>
    <n v="902.5"/>
    <n v="540"/>
    <n v="362.5"/>
  </r>
  <r>
    <s v="ORD0215"/>
    <s v="2025-01-09"/>
    <x v="1"/>
    <x v="2"/>
    <s v="External HDD 2TB"/>
    <x v="2"/>
    <n v="3"/>
    <n v="4900"/>
    <n v="0.1"/>
    <n v="13230"/>
    <n v="10800"/>
    <n v="2430"/>
  </r>
  <r>
    <s v="ORD0132"/>
    <s v="2025-01-13"/>
    <x v="1"/>
    <x v="0"/>
    <s v="Budget Laptop"/>
    <x v="3"/>
    <n v="1"/>
    <n v="38500"/>
    <n v="0.1"/>
    <n v="34650"/>
    <n v="31000"/>
    <n v="3650"/>
  </r>
  <r>
    <s v="ORD0173"/>
    <s v="2025-01-13"/>
    <x v="4"/>
    <x v="1"/>
    <s v="Wireless Mouse"/>
    <x v="1"/>
    <n v="2"/>
    <n v="650"/>
    <n v="0.15"/>
    <n v="1105"/>
    <n v="780"/>
    <n v="325"/>
  </r>
  <r>
    <s v="ORD0039"/>
    <s v="2025-01-14"/>
    <x v="1"/>
    <x v="0"/>
    <s v="Budget Laptop"/>
    <x v="3"/>
    <n v="2"/>
    <n v="38500"/>
    <n v="0"/>
    <n v="77000"/>
    <n v="62000"/>
    <n v="15000"/>
  </r>
  <r>
    <s v="ORD0114"/>
    <s v="2025-01-14"/>
    <x v="2"/>
    <x v="1"/>
    <s v="Mechanical Keyboard"/>
    <x v="1"/>
    <n v="1"/>
    <n v="1800"/>
    <n v="0"/>
    <n v="1800"/>
    <n v="1150"/>
    <n v="650"/>
  </r>
  <r>
    <s v="ORD0029"/>
    <s v="2025-01-15"/>
    <x v="3"/>
    <x v="2"/>
    <s v="Headset"/>
    <x v="1"/>
    <n v="2"/>
    <n v="1600"/>
    <n v="0.15"/>
    <n v="2720"/>
    <n v="1960"/>
    <n v="760"/>
  </r>
  <r>
    <s v="ORD0124"/>
    <s v="2025-01-16"/>
    <x v="0"/>
    <x v="1"/>
    <s v="Laptop Stand"/>
    <x v="1"/>
    <n v="3"/>
    <n v="950"/>
    <n v="0"/>
    <n v="2850"/>
    <n v="1620"/>
    <n v="1230"/>
  </r>
  <r>
    <s v="ORD0175"/>
    <s v="2025-01-16"/>
    <x v="4"/>
    <x v="2"/>
    <s v="Wireless Mouse"/>
    <x v="1"/>
    <n v="5"/>
    <n v="650"/>
    <n v="0.15"/>
    <n v="2762.5"/>
    <n v="1950"/>
    <n v="812.5"/>
  </r>
  <r>
    <s v="ORD0043"/>
    <s v="2025-01-18"/>
    <x v="2"/>
    <x v="0"/>
    <s v="Webcam HD"/>
    <x v="1"/>
    <n v="3"/>
    <n v="2100"/>
    <n v="0.05"/>
    <n v="5985"/>
    <n v="4350"/>
    <n v="1635"/>
  </r>
  <r>
    <s v="ORD0061"/>
    <s v="2025-01-19"/>
    <x v="3"/>
    <x v="0"/>
    <s v="External HDD 2TB"/>
    <x v="2"/>
    <n v="2"/>
    <n v="4900"/>
    <n v="0.05"/>
    <n v="9310"/>
    <n v="7200"/>
    <n v="2110"/>
  </r>
  <r>
    <s v="ORD0208"/>
    <s v="2025-01-19"/>
    <x v="2"/>
    <x v="2"/>
    <s v="USB-C Hub"/>
    <x v="1"/>
    <n v="2"/>
    <n v="1450"/>
    <n v="0.1"/>
    <n v="2610"/>
    <n v="1800"/>
    <n v="810"/>
  </r>
  <r>
    <s v="ORD0088"/>
    <s v="2025-01-20"/>
    <x v="4"/>
    <x v="0"/>
    <s v="USB-C Hub"/>
    <x v="1"/>
    <n v="4"/>
    <n v="1450"/>
    <n v="0.15"/>
    <n v="4930"/>
    <n v="3600"/>
    <n v="1330"/>
  </r>
  <r>
    <s v="ORD0159"/>
    <s v="2025-01-20"/>
    <x v="3"/>
    <x v="0"/>
    <s v="External HDD 2TB"/>
    <x v="2"/>
    <n v="1"/>
    <n v="4900"/>
    <n v="0.15"/>
    <n v="4165"/>
    <n v="3600"/>
    <n v="565"/>
  </r>
  <r>
    <s v="ORD0110"/>
    <s v="2025-01-21"/>
    <x v="4"/>
    <x v="2"/>
    <s v="Laptop Stand"/>
    <x v="1"/>
    <n v="2"/>
    <n v="950"/>
    <n v="0.05"/>
    <n v="1805"/>
    <n v="1080"/>
    <n v="725"/>
  </r>
  <r>
    <s v="ORD0072"/>
    <s v="2025-01-28"/>
    <x v="2"/>
    <x v="1"/>
    <s v="Mechanical Keyboard"/>
    <x v="1"/>
    <n v="4"/>
    <n v="1800"/>
    <n v="0.15"/>
    <n v="6120"/>
    <n v="4600"/>
    <n v="1520"/>
  </r>
  <r>
    <s v="ORD0240"/>
    <s v="2025-01-29"/>
    <x v="2"/>
    <x v="2"/>
    <s v="Webcam HD"/>
    <x v="1"/>
    <n v="2"/>
    <n v="2100"/>
    <n v="0"/>
    <n v="4200"/>
    <n v="2900"/>
    <n v="1300"/>
  </r>
  <r>
    <s v="ORD0005"/>
    <s v="2025-02-01"/>
    <x v="4"/>
    <x v="1"/>
    <s v="USB-C Hub"/>
    <x v="1"/>
    <n v="3"/>
    <n v="1450"/>
    <n v="0"/>
    <n v="4350"/>
    <n v="2700"/>
    <n v="1650"/>
  </r>
  <r>
    <s v="ORD0237"/>
    <s v="2025-02-02"/>
    <x v="1"/>
    <x v="0"/>
    <s v="27-inch Monitor"/>
    <x v="0"/>
    <n v="1"/>
    <n v="14500"/>
    <n v="0"/>
    <n v="14500"/>
    <n v="11200"/>
    <n v="3300"/>
  </r>
  <r>
    <s v="ORD0075"/>
    <s v="2025-02-06"/>
    <x v="0"/>
    <x v="0"/>
    <s v="Headset"/>
    <x v="1"/>
    <n v="1"/>
    <n v="1600"/>
    <n v="0.05"/>
    <n v="1520"/>
    <n v="980"/>
    <n v="540"/>
  </r>
  <r>
    <s v="ORD0125"/>
    <s v="2025-02-07"/>
    <x v="2"/>
    <x v="1"/>
    <s v="Business Laptop"/>
    <x v="3"/>
    <n v="2"/>
    <n v="58000"/>
    <n v="0.1"/>
    <n v="104400"/>
    <n v="93000"/>
    <n v="11400"/>
  </r>
  <r>
    <s v="ORD0018"/>
    <s v="2025-02-08"/>
    <x v="1"/>
    <x v="1"/>
    <s v="Headset"/>
    <x v="1"/>
    <n v="5"/>
    <n v="1600"/>
    <n v="0.1"/>
    <n v="7200"/>
    <n v="4900"/>
    <n v="2300"/>
  </r>
  <r>
    <s v="ORD0054"/>
    <s v="2025-02-09"/>
    <x v="3"/>
    <x v="2"/>
    <s v="Business Laptop"/>
    <x v="3"/>
    <n v="1"/>
    <n v="58000"/>
    <n v="0.15"/>
    <n v="49300"/>
    <n v="46500"/>
    <n v="2800"/>
  </r>
  <r>
    <s v="ORD0060"/>
    <s v="2025-02-10"/>
    <x v="2"/>
    <x v="2"/>
    <s v="27-inch Monitor"/>
    <x v="0"/>
    <n v="2"/>
    <n v="14500"/>
    <n v="0"/>
    <n v="29000"/>
    <n v="22400"/>
    <n v="6600"/>
  </r>
  <r>
    <s v="ORD0165"/>
    <s v="2025-02-10"/>
    <x v="4"/>
    <x v="2"/>
    <s v="Business Laptop"/>
    <x v="3"/>
    <n v="4"/>
    <n v="58000"/>
    <n v="0.05"/>
    <n v="220400"/>
    <n v="186000"/>
    <n v="34400"/>
  </r>
  <r>
    <s v="ORD0230"/>
    <s v="2025-02-11"/>
    <x v="4"/>
    <x v="2"/>
    <s v="Laptop Stand"/>
    <x v="1"/>
    <n v="3"/>
    <n v="950"/>
    <n v="0.15"/>
    <n v="2422.5"/>
    <n v="1620"/>
    <n v="802.5"/>
  </r>
  <r>
    <s v="ORD0196"/>
    <s v="2025-02-13"/>
    <x v="2"/>
    <x v="1"/>
    <s v="24-inch Monitor"/>
    <x v="0"/>
    <n v="1"/>
    <n v="9800"/>
    <n v="0"/>
    <n v="9800"/>
    <n v="7400"/>
    <n v="2400"/>
  </r>
  <r>
    <s v="ORD0066"/>
    <s v="2025-02-14"/>
    <x v="3"/>
    <x v="2"/>
    <s v="USB-C Hub"/>
    <x v="1"/>
    <n v="1"/>
    <n v="1450"/>
    <n v="0.1"/>
    <n v="1305"/>
    <n v="900"/>
    <n v="405"/>
  </r>
  <r>
    <s v="ORD0202"/>
    <s v="2025-02-15"/>
    <x v="2"/>
    <x v="1"/>
    <s v="Business Laptop"/>
    <x v="3"/>
    <n v="2"/>
    <n v="58000"/>
    <n v="0.1"/>
    <n v="104400"/>
    <n v="93000"/>
    <n v="11400"/>
  </r>
  <r>
    <s v="ORD0174"/>
    <s v="2025-02-16"/>
    <x v="0"/>
    <x v="1"/>
    <s v="24-inch Monitor"/>
    <x v="0"/>
    <n v="2"/>
    <n v="9800"/>
    <n v="0.05"/>
    <n v="18620"/>
    <n v="14800"/>
    <n v="3820"/>
  </r>
  <r>
    <s v="ORD0086"/>
    <s v="2025-02-17"/>
    <x v="0"/>
    <x v="2"/>
    <s v="External SSD 1TB"/>
    <x v="2"/>
    <n v="2"/>
    <n v="6200"/>
    <n v="0.05"/>
    <n v="11780"/>
    <n v="9400"/>
    <n v="2380"/>
  </r>
  <r>
    <s v="ORD0232"/>
    <s v="2025-02-19"/>
    <x v="3"/>
    <x v="2"/>
    <s v="Headset"/>
    <x v="1"/>
    <n v="2"/>
    <n v="1600"/>
    <n v="0"/>
    <n v="3200"/>
    <n v="1960"/>
    <n v="1240"/>
  </r>
  <r>
    <s v="ORD0037"/>
    <s v="2025-02-20"/>
    <x v="1"/>
    <x v="2"/>
    <s v="External SSD 1TB"/>
    <x v="2"/>
    <n v="3"/>
    <n v="6200"/>
    <n v="0"/>
    <n v="18600"/>
    <n v="14100"/>
    <n v="4500"/>
  </r>
  <r>
    <s v="ORD0069"/>
    <s v="2025-02-20"/>
    <x v="1"/>
    <x v="2"/>
    <s v="Business Laptop"/>
    <x v="3"/>
    <n v="4"/>
    <n v="58000"/>
    <n v="0.1"/>
    <n v="208800"/>
    <n v="186000"/>
    <n v="22800"/>
  </r>
  <r>
    <s v="ORD0058"/>
    <s v="2025-02-23"/>
    <x v="4"/>
    <x v="2"/>
    <s v="Webcam HD"/>
    <x v="1"/>
    <n v="2"/>
    <n v="2100"/>
    <n v="0.05"/>
    <n v="3990"/>
    <n v="2900"/>
    <n v="1090"/>
  </r>
  <r>
    <s v="ORD0106"/>
    <s v="2025-02-23"/>
    <x v="1"/>
    <x v="0"/>
    <s v="Laptop Stand"/>
    <x v="1"/>
    <n v="2"/>
    <n v="950"/>
    <n v="0.05"/>
    <n v="1805"/>
    <n v="1080"/>
    <n v="725"/>
  </r>
  <r>
    <s v="ORD0021"/>
    <s v="2025-02-26"/>
    <x v="2"/>
    <x v="0"/>
    <s v="Laptop Stand"/>
    <x v="1"/>
    <n v="1"/>
    <n v="950"/>
    <n v="0.15"/>
    <n v="807.5"/>
    <n v="540"/>
    <n v="267.5"/>
  </r>
  <r>
    <s v="ORD0217"/>
    <s v="2025-03-01"/>
    <x v="1"/>
    <x v="2"/>
    <s v="Webcam HD"/>
    <x v="1"/>
    <n v="1"/>
    <n v="2100"/>
    <n v="0"/>
    <n v="2100"/>
    <n v="1450"/>
    <n v="650"/>
  </r>
  <r>
    <s v="ORD0044"/>
    <s v="2025-03-02"/>
    <x v="3"/>
    <x v="0"/>
    <s v="24-inch Monitor"/>
    <x v="0"/>
    <n v="1"/>
    <n v="9800"/>
    <n v="0"/>
    <n v="9800"/>
    <n v="7400"/>
    <n v="2400"/>
  </r>
  <r>
    <s v="ORD0040"/>
    <s v="2025-03-04"/>
    <x v="1"/>
    <x v="2"/>
    <s v="Business Laptop"/>
    <x v="3"/>
    <n v="5"/>
    <n v="58000"/>
    <n v="0.15"/>
    <n v="246500"/>
    <n v="232500"/>
    <n v="14000"/>
  </r>
  <r>
    <s v="ORD0130"/>
    <s v="2025-03-04"/>
    <x v="2"/>
    <x v="1"/>
    <s v="External HDD 2TB"/>
    <x v="2"/>
    <n v="3"/>
    <n v="4900"/>
    <n v="0.05"/>
    <n v="13965"/>
    <n v="10800"/>
    <n v="3165"/>
  </r>
  <r>
    <s v="ORD0007"/>
    <s v="2025-03-05"/>
    <x v="3"/>
    <x v="2"/>
    <s v="Headset"/>
    <x v="1"/>
    <n v="2"/>
    <n v="1600"/>
    <n v="0.05"/>
    <n v="3040"/>
    <n v="1960"/>
    <n v="1080"/>
  </r>
  <r>
    <s v="ORD0194"/>
    <s v="2025-03-05"/>
    <x v="4"/>
    <x v="2"/>
    <s v="USB-C Hub"/>
    <x v="1"/>
    <n v="1"/>
    <n v="1450"/>
    <n v="0.15"/>
    <n v="1232.5"/>
    <n v="900"/>
    <n v="332.5"/>
  </r>
  <r>
    <s v="ORD0171"/>
    <s v="2025-03-10"/>
    <x v="1"/>
    <x v="0"/>
    <s v="External HDD 2TB"/>
    <x v="2"/>
    <n v="1"/>
    <n v="4900"/>
    <n v="0.15"/>
    <n v="4165"/>
    <n v="3600"/>
    <n v="565"/>
  </r>
  <r>
    <s v="ORD0101"/>
    <s v="2025-03-12"/>
    <x v="0"/>
    <x v="2"/>
    <s v="Budget Laptop"/>
    <x v="3"/>
    <n v="2"/>
    <n v="38500"/>
    <n v="0.1"/>
    <n v="69300"/>
    <n v="62000"/>
    <n v="7300"/>
  </r>
  <r>
    <s v="ORD0238"/>
    <s v="2025-03-13"/>
    <x v="2"/>
    <x v="1"/>
    <s v="Webcam HD"/>
    <x v="1"/>
    <n v="3"/>
    <n v="2100"/>
    <n v="0.05"/>
    <n v="5985"/>
    <n v="4350"/>
    <n v="1635"/>
  </r>
  <r>
    <s v="ORD0176"/>
    <s v="2025-03-15"/>
    <x v="1"/>
    <x v="1"/>
    <s v="Business Laptop"/>
    <x v="3"/>
    <n v="3"/>
    <n v="58000"/>
    <n v="0.15"/>
    <n v="147900"/>
    <n v="139500"/>
    <n v="8400"/>
  </r>
  <r>
    <s v="ORD0079"/>
    <s v="2025-03-18"/>
    <x v="1"/>
    <x v="2"/>
    <s v="Business Laptop"/>
    <x v="3"/>
    <n v="1"/>
    <n v="58000"/>
    <n v="0.15"/>
    <n v="49300"/>
    <n v="46500"/>
    <n v="2800"/>
  </r>
  <r>
    <s v="ORD0051"/>
    <s v="2025-03-19"/>
    <x v="0"/>
    <x v="0"/>
    <s v="Laptop Stand"/>
    <x v="1"/>
    <n v="2"/>
    <n v="950"/>
    <n v="0.05"/>
    <n v="1805"/>
    <n v="1080"/>
    <n v="725"/>
  </r>
  <r>
    <s v="ORD0122"/>
    <s v="2025-03-22"/>
    <x v="2"/>
    <x v="2"/>
    <s v="Budget Laptop"/>
    <x v="3"/>
    <n v="4"/>
    <n v="38500"/>
    <n v="0.1"/>
    <n v="138600"/>
    <n v="124000"/>
    <n v="14600"/>
  </r>
  <r>
    <s v="ORD0224"/>
    <s v="2025-03-23"/>
    <x v="0"/>
    <x v="0"/>
    <s v="External SSD 1TB"/>
    <x v="2"/>
    <n v="1"/>
    <n v="6200"/>
    <n v="0.05"/>
    <n v="5890"/>
    <n v="4700"/>
    <n v="1190"/>
  </r>
  <r>
    <s v="ORD0116"/>
    <s v="2025-03-25"/>
    <x v="3"/>
    <x v="2"/>
    <s v="Headset"/>
    <x v="1"/>
    <n v="4"/>
    <n v="1600"/>
    <n v="0.05"/>
    <n v="6080"/>
    <n v="3920"/>
    <n v="2160"/>
  </r>
  <r>
    <s v="ORD0227"/>
    <s v="2025-03-26"/>
    <x v="1"/>
    <x v="0"/>
    <s v="27-inch Monitor"/>
    <x v="0"/>
    <n v="1"/>
    <n v="14500"/>
    <n v="0.15"/>
    <n v="12325"/>
    <n v="11200"/>
    <n v="1125"/>
  </r>
  <r>
    <s v="ORD0118"/>
    <s v="2025-03-28"/>
    <x v="3"/>
    <x v="1"/>
    <s v="External HDD 2TB"/>
    <x v="2"/>
    <n v="2"/>
    <n v="4900"/>
    <n v="0.05"/>
    <n v="9310"/>
    <n v="7200"/>
    <n v="2110"/>
  </r>
  <r>
    <s v="ORD0167"/>
    <s v="2025-03-28"/>
    <x v="0"/>
    <x v="2"/>
    <s v="Business Laptop"/>
    <x v="3"/>
    <n v="3"/>
    <n v="58000"/>
    <n v="0"/>
    <n v="174000"/>
    <n v="139500"/>
    <n v="34500"/>
  </r>
  <r>
    <s v="ORD0055"/>
    <s v="2025-03-29"/>
    <x v="2"/>
    <x v="0"/>
    <s v="Mechanical Keyboard"/>
    <x v="1"/>
    <n v="5"/>
    <n v="1800"/>
    <n v="0"/>
    <n v="9000"/>
    <n v="5750"/>
    <n v="3250"/>
  </r>
  <r>
    <s v="ORD0161"/>
    <s v="2025-03-30"/>
    <x v="1"/>
    <x v="2"/>
    <s v="Laptop Stand"/>
    <x v="1"/>
    <n v="5"/>
    <n v="950"/>
    <n v="0"/>
    <n v="4750"/>
    <n v="2700"/>
    <n v="2050"/>
  </r>
  <r>
    <s v="ORD0190"/>
    <s v="2025-04-01"/>
    <x v="0"/>
    <x v="0"/>
    <s v="Webcam HD"/>
    <x v="1"/>
    <n v="1"/>
    <n v="2100"/>
    <n v="0"/>
    <n v="2100"/>
    <n v="1450"/>
    <n v="650"/>
  </r>
  <r>
    <s v="ORD0103"/>
    <s v="2025-04-09"/>
    <x v="0"/>
    <x v="0"/>
    <s v="Laptop Stand"/>
    <x v="1"/>
    <n v="1"/>
    <n v="950"/>
    <n v="0"/>
    <n v="950"/>
    <n v="540"/>
    <n v="410"/>
  </r>
  <r>
    <s v="ORD0081"/>
    <s v="2025-04-11"/>
    <x v="2"/>
    <x v="2"/>
    <s v="External SSD 1TB"/>
    <x v="2"/>
    <n v="3"/>
    <n v="6200"/>
    <n v="0"/>
    <n v="18600"/>
    <n v="14100"/>
    <n v="4500"/>
  </r>
  <r>
    <s v="ORD0095"/>
    <s v="2025-04-12"/>
    <x v="1"/>
    <x v="0"/>
    <s v="Mechanical Keyboard"/>
    <x v="1"/>
    <n v="1"/>
    <n v="1800"/>
    <n v="0.05"/>
    <n v="1710"/>
    <n v="1150"/>
    <n v="560"/>
  </r>
  <r>
    <s v="ORD0203"/>
    <s v="2025-04-12"/>
    <x v="3"/>
    <x v="2"/>
    <s v="27-inch Monitor"/>
    <x v="0"/>
    <n v="2"/>
    <n v="14500"/>
    <n v="0"/>
    <n v="29000"/>
    <n v="22400"/>
    <n v="6600"/>
  </r>
  <r>
    <s v="ORD0138"/>
    <s v="2025-04-13"/>
    <x v="0"/>
    <x v="1"/>
    <s v="27-inch Monitor"/>
    <x v="0"/>
    <n v="2"/>
    <n v="14500"/>
    <n v="0.05"/>
    <n v="27550"/>
    <n v="22400"/>
    <n v="5150"/>
  </r>
  <r>
    <s v="ORD0144"/>
    <s v="2025-04-14"/>
    <x v="0"/>
    <x v="0"/>
    <s v="Laptop Stand"/>
    <x v="1"/>
    <n v="3"/>
    <n v="950"/>
    <n v="0.05"/>
    <n v="2707.5"/>
    <n v="1620"/>
    <n v="1087.5"/>
  </r>
  <r>
    <s v="ORD0094"/>
    <s v="2025-04-17"/>
    <x v="0"/>
    <x v="2"/>
    <s v="Budget Laptop"/>
    <x v="3"/>
    <n v="2"/>
    <n v="38500"/>
    <n v="0.1"/>
    <n v="69300"/>
    <n v="62000"/>
    <n v="7300"/>
  </r>
  <r>
    <s v="ORD0191"/>
    <s v="2025-04-17"/>
    <x v="3"/>
    <x v="0"/>
    <s v="Headset"/>
    <x v="1"/>
    <n v="1"/>
    <n v="1600"/>
    <n v="0.15"/>
    <n v="1360"/>
    <n v="980"/>
    <n v="380"/>
  </r>
  <r>
    <s v="ORD0093"/>
    <s v="2025-04-19"/>
    <x v="0"/>
    <x v="0"/>
    <s v="External HDD 2TB"/>
    <x v="2"/>
    <n v="1"/>
    <n v="4900"/>
    <n v="0"/>
    <n v="4900"/>
    <n v="3600"/>
    <n v="1300"/>
  </r>
  <r>
    <s v="ORD0109"/>
    <s v="2025-04-19"/>
    <x v="1"/>
    <x v="1"/>
    <s v="Laptop Stand"/>
    <x v="1"/>
    <n v="1"/>
    <n v="950"/>
    <n v="0.05"/>
    <n v="902.5"/>
    <n v="540"/>
    <n v="362.5"/>
  </r>
  <r>
    <s v="ORD0139"/>
    <s v="2025-04-19"/>
    <x v="1"/>
    <x v="0"/>
    <s v="External SSD 1TB"/>
    <x v="2"/>
    <n v="1"/>
    <n v="6200"/>
    <n v="0.1"/>
    <n v="5580"/>
    <n v="4700"/>
    <n v="880"/>
  </r>
  <r>
    <s v="ORD0201"/>
    <s v="2025-04-19"/>
    <x v="0"/>
    <x v="2"/>
    <s v="Webcam HD"/>
    <x v="1"/>
    <n v="3"/>
    <n v="2100"/>
    <n v="0.15"/>
    <n v="5355"/>
    <n v="4350"/>
    <n v="1005"/>
  </r>
  <r>
    <s v="ORD0059"/>
    <s v="2025-04-20"/>
    <x v="3"/>
    <x v="0"/>
    <s v="External SSD 1TB"/>
    <x v="2"/>
    <n v="4"/>
    <n v="6200"/>
    <n v="0.1"/>
    <n v="22320"/>
    <n v="18800"/>
    <n v="3520"/>
  </r>
  <r>
    <s v="ORD0151"/>
    <s v="2025-04-21"/>
    <x v="2"/>
    <x v="1"/>
    <s v="Laptop Stand"/>
    <x v="1"/>
    <n v="1"/>
    <n v="950"/>
    <n v="0"/>
    <n v="950"/>
    <n v="540"/>
    <n v="410"/>
  </r>
  <r>
    <s v="ORD0092"/>
    <s v="2025-04-24"/>
    <x v="3"/>
    <x v="0"/>
    <s v="24-inch Monitor"/>
    <x v="0"/>
    <n v="4"/>
    <n v="9800"/>
    <n v="0.05"/>
    <n v="37240"/>
    <n v="29600"/>
    <n v="7640"/>
  </r>
  <r>
    <s v="ORD0209"/>
    <s v="2025-04-24"/>
    <x v="4"/>
    <x v="2"/>
    <s v="External SSD 1TB"/>
    <x v="2"/>
    <n v="1"/>
    <n v="6200"/>
    <n v="0.1"/>
    <n v="5580"/>
    <n v="4700"/>
    <n v="880"/>
  </r>
  <r>
    <s v="ORD0226"/>
    <s v="2025-04-27"/>
    <x v="2"/>
    <x v="0"/>
    <s v="Budget Laptop"/>
    <x v="3"/>
    <n v="2"/>
    <n v="38500"/>
    <n v="0.05"/>
    <n v="73150"/>
    <n v="62000"/>
    <n v="11150"/>
  </r>
  <r>
    <s v="ORD0028"/>
    <s v="2025-04-28"/>
    <x v="2"/>
    <x v="1"/>
    <s v="Budget Laptop"/>
    <x v="3"/>
    <n v="1"/>
    <n v="38500"/>
    <n v="0"/>
    <n v="38500"/>
    <n v="31000"/>
    <n v="7500"/>
  </r>
  <r>
    <s v="ORD0160"/>
    <s v="2025-05-02"/>
    <x v="1"/>
    <x v="2"/>
    <s v="USB-C Hub"/>
    <x v="1"/>
    <n v="1"/>
    <n v="1450"/>
    <n v="0.1"/>
    <n v="1305"/>
    <n v="900"/>
    <n v="405"/>
  </r>
  <r>
    <s v="ORD0003"/>
    <s v="2025-05-08"/>
    <x v="2"/>
    <x v="1"/>
    <s v="Business Laptop"/>
    <x v="3"/>
    <n v="3"/>
    <n v="58000"/>
    <n v="0.1"/>
    <n v="156600"/>
    <n v="139500"/>
    <n v="17100"/>
  </r>
  <r>
    <s v="ORD0071"/>
    <s v="2025-05-12"/>
    <x v="2"/>
    <x v="0"/>
    <s v="USB-C Hub"/>
    <x v="1"/>
    <n v="1"/>
    <n v="1450"/>
    <n v="0"/>
    <n v="1450"/>
    <n v="900"/>
    <n v="550"/>
  </r>
  <r>
    <s v="ORD0185"/>
    <s v="2025-05-14"/>
    <x v="4"/>
    <x v="1"/>
    <s v="External HDD 2TB"/>
    <x v="2"/>
    <n v="2"/>
    <n v="4900"/>
    <n v="0.15"/>
    <n v="8330"/>
    <n v="7200"/>
    <n v="1130"/>
  </r>
  <r>
    <s v="ORD0231"/>
    <s v="2025-05-15"/>
    <x v="0"/>
    <x v="0"/>
    <s v="External HDD 2TB"/>
    <x v="2"/>
    <n v="2"/>
    <n v="4900"/>
    <n v="0.15"/>
    <n v="8330"/>
    <n v="7200"/>
    <n v="1130"/>
  </r>
  <r>
    <s v="ORD0025"/>
    <s v="2025-05-16"/>
    <x v="1"/>
    <x v="1"/>
    <s v="External HDD 2TB"/>
    <x v="2"/>
    <n v="1"/>
    <n v="4900"/>
    <n v="0.05"/>
    <n v="4655"/>
    <n v="3600"/>
    <n v="1055"/>
  </r>
  <r>
    <s v="ORD0189"/>
    <s v="2025-05-16"/>
    <x v="0"/>
    <x v="0"/>
    <s v="Wireless Mouse"/>
    <x v="1"/>
    <n v="1"/>
    <n v="650"/>
    <n v="0.15"/>
    <n v="552.5"/>
    <n v="390"/>
    <n v="162.5"/>
  </r>
  <r>
    <s v="ORD0219"/>
    <s v="2025-05-16"/>
    <x v="0"/>
    <x v="1"/>
    <s v="Budget Laptop"/>
    <x v="3"/>
    <n v="1"/>
    <n v="38500"/>
    <n v="0.15"/>
    <n v="32725"/>
    <n v="31000"/>
    <n v="1725"/>
  </r>
  <r>
    <s v="ORD0013"/>
    <s v="2025-05-17"/>
    <x v="0"/>
    <x v="1"/>
    <s v="Mechanical Keyboard"/>
    <x v="1"/>
    <n v="3"/>
    <n v="1800"/>
    <n v="0"/>
    <n v="5400"/>
    <n v="3450"/>
    <n v="1950"/>
  </r>
  <r>
    <s v="ORD0149"/>
    <s v="2025-05-18"/>
    <x v="4"/>
    <x v="1"/>
    <s v="24-inch Monitor"/>
    <x v="0"/>
    <n v="2"/>
    <n v="9800"/>
    <n v="0"/>
    <n v="19600"/>
    <n v="14800"/>
    <n v="4800"/>
  </r>
  <r>
    <s v="ORD0210"/>
    <s v="2025-05-19"/>
    <x v="2"/>
    <x v="2"/>
    <s v="Webcam HD"/>
    <x v="1"/>
    <n v="4"/>
    <n v="2100"/>
    <n v="0.1"/>
    <n v="7560"/>
    <n v="5800"/>
    <n v="1760"/>
  </r>
  <r>
    <s v="ORD0017"/>
    <s v="2025-05-20"/>
    <x v="2"/>
    <x v="0"/>
    <s v="Budget Laptop"/>
    <x v="3"/>
    <n v="2"/>
    <n v="38500"/>
    <n v="0"/>
    <n v="77000"/>
    <n v="62000"/>
    <n v="15000"/>
  </r>
  <r>
    <s v="ORD0220"/>
    <s v="2025-05-23"/>
    <x v="2"/>
    <x v="0"/>
    <s v="27-inch Monitor"/>
    <x v="0"/>
    <n v="2"/>
    <n v="14500"/>
    <n v="0"/>
    <n v="29000"/>
    <n v="22400"/>
    <n v="6600"/>
  </r>
  <r>
    <s v="ORD0050"/>
    <s v="2025-05-25"/>
    <x v="4"/>
    <x v="1"/>
    <s v="Business Laptop"/>
    <x v="3"/>
    <n v="1"/>
    <n v="58000"/>
    <n v="0"/>
    <n v="58000"/>
    <n v="46500"/>
    <n v="11500"/>
  </r>
  <r>
    <s v="ORD0207"/>
    <s v="2025-05-25"/>
    <x v="3"/>
    <x v="1"/>
    <s v="External HDD 2TB"/>
    <x v="2"/>
    <n v="4"/>
    <n v="4900"/>
    <n v="0"/>
    <n v="19600"/>
    <n v="14400"/>
    <n v="5200"/>
  </r>
  <r>
    <s v="ORD0222"/>
    <s v="2025-05-27"/>
    <x v="4"/>
    <x v="0"/>
    <s v="External SSD 1TB"/>
    <x v="2"/>
    <n v="2"/>
    <n v="6200"/>
    <n v="0"/>
    <n v="12400"/>
    <n v="9400"/>
    <n v="3000"/>
  </r>
  <r>
    <s v="ORD0126"/>
    <s v="2025-05-30"/>
    <x v="4"/>
    <x v="1"/>
    <s v="External SSD 1TB"/>
    <x v="2"/>
    <n v="1"/>
    <n v="6200"/>
    <n v="0.1"/>
    <n v="5580"/>
    <n v="4700"/>
    <n v="880"/>
  </r>
  <r>
    <s v="ORD0197"/>
    <s v="2025-05-30"/>
    <x v="4"/>
    <x v="0"/>
    <s v="Business Laptop"/>
    <x v="3"/>
    <n v="2"/>
    <n v="58000"/>
    <n v="0"/>
    <n v="116000"/>
    <n v="93000"/>
    <n v="23000"/>
  </r>
  <r>
    <s v="ORD0155"/>
    <s v="2025-06-02"/>
    <x v="4"/>
    <x v="2"/>
    <s v="27-inch Monitor"/>
    <x v="0"/>
    <n v="5"/>
    <n v="14500"/>
    <n v="0.05"/>
    <n v="68875"/>
    <n v="56000"/>
    <n v="12875"/>
  </r>
  <r>
    <s v="ORD0142"/>
    <s v="2025-06-03"/>
    <x v="3"/>
    <x v="1"/>
    <s v="Wireless Mouse"/>
    <x v="1"/>
    <n v="2"/>
    <n v="650"/>
    <n v="0"/>
    <n v="1300"/>
    <n v="780"/>
    <n v="520"/>
  </r>
  <r>
    <s v="ORD0083"/>
    <s v="2025-06-08"/>
    <x v="2"/>
    <x v="1"/>
    <s v="Webcam HD"/>
    <x v="1"/>
    <n v="1"/>
    <n v="2100"/>
    <n v="0.15"/>
    <n v="1785"/>
    <n v="1450"/>
    <n v="335"/>
  </r>
  <r>
    <s v="ORD0119"/>
    <s v="2025-06-08"/>
    <x v="2"/>
    <x v="2"/>
    <s v="Webcam HD"/>
    <x v="1"/>
    <n v="1"/>
    <n v="2100"/>
    <n v="0.15"/>
    <n v="1785"/>
    <n v="1450"/>
    <n v="335"/>
  </r>
  <r>
    <s v="ORD0023"/>
    <s v="2025-06-09"/>
    <x v="3"/>
    <x v="2"/>
    <s v="27-inch Monitor"/>
    <x v="0"/>
    <n v="3"/>
    <n v="14500"/>
    <n v="0.1"/>
    <n v="39150"/>
    <n v="33600"/>
    <n v="5550"/>
  </r>
  <r>
    <s v="ORD0073"/>
    <s v="2025-06-09"/>
    <x v="0"/>
    <x v="2"/>
    <s v="Webcam HD"/>
    <x v="1"/>
    <n v="2"/>
    <n v="2100"/>
    <n v="0.05"/>
    <n v="3990"/>
    <n v="2900"/>
    <n v="1090"/>
  </r>
  <r>
    <s v="ORD0031"/>
    <s v="2025-06-10"/>
    <x v="2"/>
    <x v="0"/>
    <s v="24-inch Monitor"/>
    <x v="0"/>
    <n v="1"/>
    <n v="9800"/>
    <n v="0"/>
    <n v="9800"/>
    <n v="7400"/>
    <n v="2400"/>
  </r>
  <r>
    <s v="ORD0022"/>
    <s v="2025-06-11"/>
    <x v="1"/>
    <x v="1"/>
    <s v="Wireless Mouse"/>
    <x v="1"/>
    <n v="1"/>
    <n v="650"/>
    <n v="0.1"/>
    <n v="585"/>
    <n v="390"/>
    <n v="195"/>
  </r>
  <r>
    <s v="ORD0137"/>
    <s v="2025-06-11"/>
    <x v="2"/>
    <x v="2"/>
    <s v="Mechanical Keyboard"/>
    <x v="1"/>
    <n v="2"/>
    <n v="1800"/>
    <n v="0.15"/>
    <n v="3060"/>
    <n v="2300"/>
    <n v="760"/>
  </r>
  <r>
    <s v="ORD0192"/>
    <s v="2025-06-11"/>
    <x v="0"/>
    <x v="1"/>
    <s v="Wireless Mouse"/>
    <x v="1"/>
    <n v="2"/>
    <n v="650"/>
    <n v="0.1"/>
    <n v="1170"/>
    <n v="780"/>
    <n v="390"/>
  </r>
  <r>
    <s v="ORD0004"/>
    <s v="2025-06-12"/>
    <x v="4"/>
    <x v="1"/>
    <s v="Webcam HD"/>
    <x v="1"/>
    <n v="4"/>
    <n v="2100"/>
    <n v="0.1"/>
    <n v="7560"/>
    <n v="5800"/>
    <n v="1760"/>
  </r>
  <r>
    <s v="ORD0015"/>
    <s v="2025-06-13"/>
    <x v="0"/>
    <x v="0"/>
    <s v="USB-C Hub"/>
    <x v="1"/>
    <n v="1"/>
    <n v="1450"/>
    <n v="0.15"/>
    <n v="1232.5"/>
    <n v="900"/>
    <n v="332.5"/>
  </r>
  <r>
    <s v="ORD0127"/>
    <s v="2025-06-14"/>
    <x v="2"/>
    <x v="0"/>
    <s v="27-inch Monitor"/>
    <x v="0"/>
    <n v="1"/>
    <n v="14500"/>
    <n v="0.1"/>
    <n v="13050"/>
    <n v="11200"/>
    <n v="1850"/>
  </r>
  <r>
    <s v="ORD0166"/>
    <s v="2025-06-14"/>
    <x v="1"/>
    <x v="2"/>
    <s v="USB-C Hub"/>
    <x v="1"/>
    <n v="3"/>
    <n v="1450"/>
    <n v="0.1"/>
    <n v="3915"/>
    <n v="2700"/>
    <n v="1215"/>
  </r>
  <r>
    <s v="ORD0085"/>
    <s v="2025-06-17"/>
    <x v="1"/>
    <x v="0"/>
    <s v="External SSD 1TB"/>
    <x v="2"/>
    <n v="3"/>
    <n v="6200"/>
    <n v="0.1"/>
    <n v="16740"/>
    <n v="14100"/>
    <n v="2640"/>
  </r>
  <r>
    <s v="ORD0104"/>
    <s v="2025-06-17"/>
    <x v="2"/>
    <x v="0"/>
    <s v="USB-C Hub"/>
    <x v="1"/>
    <n v="2"/>
    <n v="1450"/>
    <n v="0.1"/>
    <n v="2610"/>
    <n v="1800"/>
    <n v="810"/>
  </r>
  <r>
    <s v="ORD0120"/>
    <s v="2025-06-17"/>
    <x v="1"/>
    <x v="2"/>
    <s v="Wireless Mouse"/>
    <x v="1"/>
    <n v="1"/>
    <n v="650"/>
    <n v="0.05"/>
    <n v="617.5"/>
    <n v="390"/>
    <n v="227.5"/>
  </r>
  <r>
    <s v="ORD0030"/>
    <s v="2025-06-18"/>
    <x v="4"/>
    <x v="1"/>
    <s v="External HDD 2TB"/>
    <x v="2"/>
    <n v="1"/>
    <n v="4900"/>
    <n v="0.15"/>
    <n v="4165"/>
    <n v="3600"/>
    <n v="565"/>
  </r>
  <r>
    <s v="ORD0147"/>
    <s v="2025-06-19"/>
    <x v="1"/>
    <x v="1"/>
    <s v="Budget Laptop"/>
    <x v="3"/>
    <n v="2"/>
    <n v="38500"/>
    <n v="0.15"/>
    <n v="65450"/>
    <n v="62000"/>
    <n v="3450"/>
  </r>
  <r>
    <s v="ORD0154"/>
    <s v="2025-06-20"/>
    <x v="4"/>
    <x v="2"/>
    <s v="External HDD 2TB"/>
    <x v="2"/>
    <n v="1"/>
    <n v="4900"/>
    <n v="0.15"/>
    <n v="4165"/>
    <n v="3600"/>
    <n v="565"/>
  </r>
  <r>
    <s v="ORD0016"/>
    <s v="2025-06-21"/>
    <x v="1"/>
    <x v="0"/>
    <s v="Wireless Mouse"/>
    <x v="1"/>
    <n v="1"/>
    <n v="650"/>
    <n v="0.05"/>
    <n v="617.5"/>
    <n v="390"/>
    <n v="227.5"/>
  </r>
  <r>
    <s v="ORD0129"/>
    <s v="2025-06-22"/>
    <x v="3"/>
    <x v="0"/>
    <s v="Wireless Mouse"/>
    <x v="1"/>
    <n v="1"/>
    <n v="650"/>
    <n v="0"/>
    <n v="650"/>
    <n v="390"/>
    <n v="260"/>
  </r>
  <r>
    <s v="ORD0168"/>
    <s v="2025-06-24"/>
    <x v="0"/>
    <x v="1"/>
    <s v="External SSD 1TB"/>
    <x v="2"/>
    <n v="3"/>
    <n v="6200"/>
    <n v="0"/>
    <n v="18600"/>
    <n v="14100"/>
    <n v="4500"/>
  </r>
  <r>
    <s v="ORD0184"/>
    <s v="2025-06-30"/>
    <x v="1"/>
    <x v="1"/>
    <s v="Wireless Mouse"/>
    <x v="1"/>
    <n v="1"/>
    <n v="650"/>
    <n v="0.05"/>
    <n v="617.5"/>
    <n v="390"/>
    <n v="227.5"/>
  </r>
  <r>
    <s v="ORD0032"/>
    <s v="2025-07-02"/>
    <x v="1"/>
    <x v="1"/>
    <s v="Budget Laptop"/>
    <x v="3"/>
    <n v="2"/>
    <n v="38500"/>
    <n v="0.15"/>
    <n v="65450"/>
    <n v="62000"/>
    <n v="3450"/>
  </r>
  <r>
    <s v="ORD0121"/>
    <s v="2025-07-05"/>
    <x v="1"/>
    <x v="0"/>
    <s v="External HDD 2TB"/>
    <x v="2"/>
    <n v="1"/>
    <n v="4900"/>
    <n v="0"/>
    <n v="4900"/>
    <n v="3600"/>
    <n v="1300"/>
  </r>
  <r>
    <s v="ORD0131"/>
    <s v="2025-07-06"/>
    <x v="1"/>
    <x v="2"/>
    <s v="Headset"/>
    <x v="1"/>
    <n v="1"/>
    <n v="1600"/>
    <n v="0"/>
    <n v="1600"/>
    <n v="980"/>
    <n v="620"/>
  </r>
  <r>
    <s v="ORD0169"/>
    <s v="2025-07-08"/>
    <x v="1"/>
    <x v="0"/>
    <s v="24-inch Monitor"/>
    <x v="0"/>
    <n v="1"/>
    <n v="9800"/>
    <n v="0"/>
    <n v="9800"/>
    <n v="7400"/>
    <n v="2400"/>
  </r>
  <r>
    <s v="ORD0218"/>
    <s v="2025-07-08"/>
    <x v="0"/>
    <x v="0"/>
    <s v="Business Laptop"/>
    <x v="3"/>
    <n v="3"/>
    <n v="58000"/>
    <n v="0"/>
    <n v="174000"/>
    <n v="139500"/>
    <n v="34500"/>
  </r>
  <r>
    <s v="ORD0234"/>
    <s v="2025-07-09"/>
    <x v="1"/>
    <x v="2"/>
    <s v="Webcam HD"/>
    <x v="1"/>
    <n v="2"/>
    <n v="2100"/>
    <n v="0"/>
    <n v="4200"/>
    <n v="2900"/>
    <n v="1300"/>
  </r>
  <r>
    <s v="ORD0077"/>
    <s v="2025-07-10"/>
    <x v="2"/>
    <x v="2"/>
    <s v="Budget Laptop"/>
    <x v="3"/>
    <n v="2"/>
    <n v="38500"/>
    <n v="0.1"/>
    <n v="69300"/>
    <n v="62000"/>
    <n v="7300"/>
  </r>
  <r>
    <s v="ORD0158"/>
    <s v="2025-07-10"/>
    <x v="4"/>
    <x v="2"/>
    <s v="Business Laptop"/>
    <x v="3"/>
    <n v="2"/>
    <n v="58000"/>
    <n v="0.05"/>
    <n v="110200"/>
    <n v="93000"/>
    <n v="17200"/>
  </r>
  <r>
    <s v="ORD0011"/>
    <s v="2025-07-11"/>
    <x v="4"/>
    <x v="2"/>
    <s v="External HDD 2TB"/>
    <x v="2"/>
    <n v="3"/>
    <n v="4900"/>
    <n v="0.1"/>
    <n v="13230"/>
    <n v="10800"/>
    <n v="2430"/>
  </r>
  <r>
    <s v="ORD0200"/>
    <s v="2025-07-13"/>
    <x v="2"/>
    <x v="2"/>
    <s v="27-inch Monitor"/>
    <x v="0"/>
    <n v="2"/>
    <n v="14500"/>
    <n v="0"/>
    <n v="29000"/>
    <n v="22400"/>
    <n v="6600"/>
  </r>
  <r>
    <s v="ORD0195"/>
    <s v="2025-07-14"/>
    <x v="2"/>
    <x v="2"/>
    <s v="External SSD 1TB"/>
    <x v="2"/>
    <n v="1"/>
    <n v="6200"/>
    <n v="0"/>
    <n v="6200"/>
    <n v="4700"/>
    <n v="1500"/>
  </r>
  <r>
    <s v="ORD0115"/>
    <s v="2025-07-15"/>
    <x v="4"/>
    <x v="0"/>
    <s v="Webcam HD"/>
    <x v="1"/>
    <n v="1"/>
    <n v="2100"/>
    <n v="0.05"/>
    <n v="1995"/>
    <n v="1450"/>
    <n v="545"/>
  </r>
  <r>
    <s v="ORD0057"/>
    <s v="2025-07-16"/>
    <x v="4"/>
    <x v="0"/>
    <s v="24-inch Monitor"/>
    <x v="0"/>
    <n v="4"/>
    <n v="9800"/>
    <n v="0.15"/>
    <n v="33320"/>
    <n v="29600"/>
    <n v="3720"/>
  </r>
  <r>
    <s v="ORD0068"/>
    <s v="2025-07-17"/>
    <x v="1"/>
    <x v="0"/>
    <s v="Laptop Stand"/>
    <x v="1"/>
    <n v="4"/>
    <n v="950"/>
    <n v="0.1"/>
    <n v="3420"/>
    <n v="2160"/>
    <n v="1260"/>
  </r>
  <r>
    <s v="ORD0128"/>
    <s v="2025-07-18"/>
    <x v="3"/>
    <x v="1"/>
    <s v="Webcam HD"/>
    <x v="1"/>
    <n v="1"/>
    <n v="2100"/>
    <n v="0"/>
    <n v="2100"/>
    <n v="1450"/>
    <n v="650"/>
  </r>
  <r>
    <s v="ORD0080"/>
    <s v="2025-07-20"/>
    <x v="4"/>
    <x v="1"/>
    <s v="Mechanical Keyboard"/>
    <x v="1"/>
    <n v="3"/>
    <n v="1800"/>
    <n v="0.1"/>
    <n v="4860"/>
    <n v="3450"/>
    <n v="1410"/>
  </r>
  <r>
    <s v="ORD0027"/>
    <s v="2025-07-28"/>
    <x v="3"/>
    <x v="2"/>
    <s v="External SSD 1TB"/>
    <x v="2"/>
    <n v="2"/>
    <n v="6200"/>
    <n v="0"/>
    <n v="12400"/>
    <n v="9400"/>
    <n v="3000"/>
  </r>
  <r>
    <s v="ORD0009"/>
    <s v="2025-07-29"/>
    <x v="3"/>
    <x v="0"/>
    <s v="External SSD 1TB"/>
    <x v="2"/>
    <n v="4"/>
    <n v="6200"/>
    <n v="0"/>
    <n v="24800"/>
    <n v="18800"/>
    <n v="6000"/>
  </r>
  <r>
    <s v="ORD0148"/>
    <s v="2025-07-29"/>
    <x v="1"/>
    <x v="2"/>
    <s v="Budget Laptop"/>
    <x v="3"/>
    <n v="1"/>
    <n v="38500"/>
    <n v="0"/>
    <n v="38500"/>
    <n v="31000"/>
    <n v="7500"/>
  </r>
  <r>
    <s v="ORD0183"/>
    <s v="2025-07-29"/>
    <x v="4"/>
    <x v="0"/>
    <s v="USB-C Hub"/>
    <x v="1"/>
    <n v="3"/>
    <n v="1450"/>
    <n v="0"/>
    <n v="4350"/>
    <n v="2700"/>
    <n v="1650"/>
  </r>
  <r>
    <s v="ORD0188"/>
    <s v="2025-07-31"/>
    <x v="1"/>
    <x v="0"/>
    <s v="USB-C Hub"/>
    <x v="1"/>
    <n v="1"/>
    <n v="1450"/>
    <n v="0.1"/>
    <n v="1305"/>
    <n v="900"/>
    <n v="405"/>
  </r>
  <r>
    <s v="ORD0063"/>
    <s v="2025-08-01"/>
    <x v="4"/>
    <x v="2"/>
    <s v="Laptop Stand"/>
    <x v="1"/>
    <n v="1"/>
    <n v="950"/>
    <n v="0.05"/>
    <n v="902.5"/>
    <n v="540"/>
    <n v="362.5"/>
  </r>
  <r>
    <s v="ORD0113"/>
    <s v="2025-08-01"/>
    <x v="0"/>
    <x v="2"/>
    <s v="24-inch Monitor"/>
    <x v="0"/>
    <n v="2"/>
    <n v="9800"/>
    <n v="0.1"/>
    <n v="17640"/>
    <n v="14800"/>
    <n v="2840"/>
  </r>
  <r>
    <s v="ORD0164"/>
    <s v="2025-08-01"/>
    <x v="2"/>
    <x v="0"/>
    <s v="External HDD 2TB"/>
    <x v="2"/>
    <n v="3"/>
    <n v="4900"/>
    <n v="0"/>
    <n v="14700"/>
    <n v="10800"/>
    <n v="3900"/>
  </r>
  <r>
    <s v="ORD0211"/>
    <s v="2025-08-01"/>
    <x v="4"/>
    <x v="2"/>
    <s v="USB-C Hub"/>
    <x v="1"/>
    <n v="1"/>
    <n v="1450"/>
    <n v="0.05"/>
    <n v="1377.5"/>
    <n v="900"/>
    <n v="477.5"/>
  </r>
  <r>
    <s v="ORD0042"/>
    <s v="2025-08-02"/>
    <x v="2"/>
    <x v="2"/>
    <s v="Business Laptop"/>
    <x v="3"/>
    <n v="4"/>
    <n v="58000"/>
    <n v="0.15"/>
    <n v="197200"/>
    <n v="186000"/>
    <n v="11200"/>
  </r>
  <r>
    <s v="ORD0089"/>
    <s v="2025-08-03"/>
    <x v="1"/>
    <x v="0"/>
    <s v="Mechanical Keyboard"/>
    <x v="1"/>
    <n v="1"/>
    <n v="1800"/>
    <n v="0.1"/>
    <n v="1620"/>
    <n v="1150"/>
    <n v="470"/>
  </r>
  <r>
    <s v="ORD0239"/>
    <s v="2025-08-04"/>
    <x v="2"/>
    <x v="2"/>
    <s v="External HDD 2TB"/>
    <x v="2"/>
    <n v="5"/>
    <n v="4900"/>
    <n v="0.1"/>
    <n v="22050"/>
    <n v="18000"/>
    <n v="4050"/>
  </r>
  <r>
    <s v="ORD0062"/>
    <s v="2025-08-05"/>
    <x v="3"/>
    <x v="2"/>
    <s v="External HDD 2TB"/>
    <x v="2"/>
    <n v="1"/>
    <n v="4900"/>
    <n v="0.05"/>
    <n v="4655"/>
    <n v="3600"/>
    <n v="1055"/>
  </r>
  <r>
    <s v="ORD0221"/>
    <s v="2025-08-09"/>
    <x v="1"/>
    <x v="1"/>
    <s v="Business Laptop"/>
    <x v="3"/>
    <n v="1"/>
    <n v="58000"/>
    <n v="0"/>
    <n v="58000"/>
    <n v="46500"/>
    <n v="11500"/>
  </r>
  <r>
    <s v="ORD0214"/>
    <s v="2025-08-12"/>
    <x v="2"/>
    <x v="2"/>
    <s v="Wireless Mouse"/>
    <x v="1"/>
    <n v="2"/>
    <n v="650"/>
    <n v="0"/>
    <n v="1300"/>
    <n v="780"/>
    <n v="520"/>
  </r>
  <r>
    <s v="ORD0123"/>
    <s v="2025-08-14"/>
    <x v="4"/>
    <x v="0"/>
    <s v="Budget Laptop"/>
    <x v="3"/>
    <n v="5"/>
    <n v="38500"/>
    <n v="0.15"/>
    <n v="163625"/>
    <n v="155000"/>
    <n v="8625"/>
  </r>
  <r>
    <s v="ORD0045"/>
    <s v="2025-08-15"/>
    <x v="3"/>
    <x v="0"/>
    <s v="Mechanical Keyboard"/>
    <x v="1"/>
    <n v="1"/>
    <n v="1800"/>
    <n v="0"/>
    <n v="1800"/>
    <n v="1150"/>
    <n v="650"/>
  </r>
  <r>
    <s v="ORD0223"/>
    <s v="2025-08-17"/>
    <x v="1"/>
    <x v="1"/>
    <s v="External SSD 1TB"/>
    <x v="2"/>
    <n v="1"/>
    <n v="6200"/>
    <n v="0.1"/>
    <n v="5580"/>
    <n v="4700"/>
    <n v="880"/>
  </r>
  <r>
    <s v="ORD0216"/>
    <s v="2025-08-20"/>
    <x v="3"/>
    <x v="0"/>
    <s v="24-inch Monitor"/>
    <x v="0"/>
    <n v="1"/>
    <n v="9800"/>
    <n v="0.1"/>
    <n v="8820"/>
    <n v="7400"/>
    <n v="1420"/>
  </r>
  <r>
    <s v="ORD0180"/>
    <s v="2025-08-22"/>
    <x v="3"/>
    <x v="2"/>
    <s v="Budget Laptop"/>
    <x v="3"/>
    <n v="2"/>
    <n v="38500"/>
    <n v="0"/>
    <n v="77000"/>
    <n v="62000"/>
    <n v="15000"/>
  </r>
  <r>
    <s v="ORD0056"/>
    <s v="2025-08-25"/>
    <x v="2"/>
    <x v="0"/>
    <s v="24-inch Monitor"/>
    <x v="0"/>
    <n v="1"/>
    <n v="9800"/>
    <n v="0"/>
    <n v="9800"/>
    <n v="7400"/>
    <n v="2400"/>
  </r>
  <r>
    <s v="ORD0199"/>
    <s v="2025-08-25"/>
    <x v="3"/>
    <x v="2"/>
    <s v="External SSD 1TB"/>
    <x v="2"/>
    <n v="4"/>
    <n v="6200"/>
    <n v="0.1"/>
    <n v="22320"/>
    <n v="18800"/>
    <n v="3520"/>
  </r>
  <r>
    <s v="ORD0034"/>
    <s v="2025-08-26"/>
    <x v="0"/>
    <x v="1"/>
    <s v="Budget Laptop"/>
    <x v="3"/>
    <n v="4"/>
    <n v="38500"/>
    <n v="0"/>
    <n v="154000"/>
    <n v="124000"/>
    <n v="30000"/>
  </r>
  <r>
    <s v="ORD0036"/>
    <s v="2025-08-28"/>
    <x v="1"/>
    <x v="0"/>
    <s v="24-inch Monitor"/>
    <x v="0"/>
    <n v="3"/>
    <n v="9800"/>
    <n v="0"/>
    <n v="29400"/>
    <n v="22200"/>
    <n v="7200"/>
  </r>
  <r>
    <s v="ORD0038"/>
    <s v="2025-08-30"/>
    <x v="4"/>
    <x v="2"/>
    <s v="Headset"/>
    <x v="1"/>
    <n v="4"/>
    <n v="1600"/>
    <n v="0.15"/>
    <n v="5440"/>
    <n v="3920"/>
    <n v="1520"/>
  </r>
  <r>
    <s v="ORD0172"/>
    <s v="2025-08-30"/>
    <x v="1"/>
    <x v="2"/>
    <s v="External HDD 2TB"/>
    <x v="2"/>
    <n v="1"/>
    <n v="4900"/>
    <n v="0.05"/>
    <n v="4655"/>
    <n v="3600"/>
    <n v="1055"/>
  </r>
  <r>
    <s v="ORD0035"/>
    <s v="2025-09-01"/>
    <x v="4"/>
    <x v="2"/>
    <s v="Budget Laptop"/>
    <x v="3"/>
    <n v="1"/>
    <n v="38500"/>
    <n v="0.05"/>
    <n v="36575"/>
    <n v="31000"/>
    <n v="5575"/>
  </r>
  <r>
    <s v="ORD0206"/>
    <s v="2025-09-01"/>
    <x v="2"/>
    <x v="1"/>
    <s v="Webcam HD"/>
    <x v="1"/>
    <n v="1"/>
    <n v="2100"/>
    <n v="0"/>
    <n v="2100"/>
    <n v="1450"/>
    <n v="650"/>
  </r>
  <r>
    <s v="ORD0076"/>
    <s v="2025-09-04"/>
    <x v="1"/>
    <x v="0"/>
    <s v="Laptop Stand"/>
    <x v="1"/>
    <n v="3"/>
    <n v="950"/>
    <n v="0"/>
    <n v="2850"/>
    <n v="1620"/>
    <n v="1230"/>
  </r>
  <r>
    <s v="ORD0026"/>
    <s v="2025-09-07"/>
    <x v="4"/>
    <x v="1"/>
    <s v="External HDD 2TB"/>
    <x v="2"/>
    <n v="2"/>
    <n v="4900"/>
    <n v="0.1"/>
    <n v="8820"/>
    <n v="7200"/>
    <n v="1620"/>
  </r>
  <r>
    <s v="ORD0228"/>
    <s v="2025-09-08"/>
    <x v="2"/>
    <x v="0"/>
    <s v="External HDD 2TB"/>
    <x v="2"/>
    <n v="3"/>
    <n v="4900"/>
    <n v="0.05"/>
    <n v="13965"/>
    <n v="10800"/>
    <n v="3165"/>
  </r>
  <r>
    <s v="ORD0170"/>
    <s v="2025-09-09"/>
    <x v="2"/>
    <x v="2"/>
    <s v="External SSD 1TB"/>
    <x v="2"/>
    <n v="2"/>
    <n v="6200"/>
    <n v="0"/>
    <n v="12400"/>
    <n v="9400"/>
    <n v="3000"/>
  </r>
  <r>
    <s v="ORD0233"/>
    <s v="2025-09-09"/>
    <x v="3"/>
    <x v="2"/>
    <s v="Wireless Mouse"/>
    <x v="1"/>
    <n v="2"/>
    <n v="650"/>
    <n v="0"/>
    <n v="1300"/>
    <n v="780"/>
    <n v="520"/>
  </r>
  <r>
    <s v="ORD0145"/>
    <s v="2025-09-10"/>
    <x v="0"/>
    <x v="0"/>
    <s v="Wireless Mouse"/>
    <x v="1"/>
    <n v="1"/>
    <n v="650"/>
    <n v="0.1"/>
    <n v="585"/>
    <n v="390"/>
    <n v="195"/>
  </r>
  <r>
    <s v="ORD0070"/>
    <s v="2025-09-12"/>
    <x v="4"/>
    <x v="2"/>
    <s v="Wireless Mouse"/>
    <x v="1"/>
    <n v="1"/>
    <n v="650"/>
    <n v="0"/>
    <n v="650"/>
    <n v="390"/>
    <n v="260"/>
  </r>
  <r>
    <s v="ORD0052"/>
    <s v="2025-09-14"/>
    <x v="3"/>
    <x v="0"/>
    <s v="USB-C Hub"/>
    <x v="1"/>
    <n v="1"/>
    <n v="1450"/>
    <n v="0"/>
    <n v="1450"/>
    <n v="900"/>
    <n v="550"/>
  </r>
  <r>
    <s v="ORD0065"/>
    <s v="2025-09-14"/>
    <x v="3"/>
    <x v="1"/>
    <s v="USB-C Hub"/>
    <x v="1"/>
    <n v="5"/>
    <n v="1450"/>
    <n v="0.1"/>
    <n v="6525"/>
    <n v="4500"/>
    <n v="2025"/>
  </r>
  <r>
    <s v="ORD0053"/>
    <s v="2025-09-15"/>
    <x v="2"/>
    <x v="0"/>
    <s v="Laptop Stand"/>
    <x v="1"/>
    <n v="2"/>
    <n v="950"/>
    <n v="0"/>
    <n v="1900"/>
    <n v="1080"/>
    <n v="820"/>
  </r>
  <r>
    <s v="ORD0008"/>
    <s v="2025-09-17"/>
    <x v="4"/>
    <x v="1"/>
    <s v="Budget Laptop"/>
    <x v="3"/>
    <n v="2"/>
    <n v="38500"/>
    <n v="0.15"/>
    <n v="65450"/>
    <n v="62000"/>
    <n v="3450"/>
  </r>
  <r>
    <s v="ORD0111"/>
    <s v="2025-09-17"/>
    <x v="0"/>
    <x v="1"/>
    <s v="USB-C Hub"/>
    <x v="1"/>
    <n v="1"/>
    <n v="1450"/>
    <n v="0.15"/>
    <n v="1232.5"/>
    <n v="900"/>
    <n v="332.5"/>
  </r>
  <r>
    <s v="ORD0108"/>
    <s v="2025-09-18"/>
    <x v="4"/>
    <x v="1"/>
    <s v="Business Laptop"/>
    <x v="3"/>
    <n v="1"/>
    <n v="58000"/>
    <n v="0.05"/>
    <n v="55100"/>
    <n v="46500"/>
    <n v="8600"/>
  </r>
  <r>
    <s v="ORD0163"/>
    <s v="2025-09-19"/>
    <x v="4"/>
    <x v="0"/>
    <s v="USB-C Hub"/>
    <x v="1"/>
    <n v="1"/>
    <n v="1450"/>
    <n v="0"/>
    <n v="1450"/>
    <n v="900"/>
    <n v="550"/>
  </r>
  <r>
    <s v="ORD0090"/>
    <s v="2025-09-21"/>
    <x v="0"/>
    <x v="2"/>
    <s v="Business Laptop"/>
    <x v="3"/>
    <n v="2"/>
    <n v="58000"/>
    <n v="0.05"/>
    <n v="110200"/>
    <n v="93000"/>
    <n v="17200"/>
  </r>
  <r>
    <s v="ORD0107"/>
    <s v="2025-09-22"/>
    <x v="3"/>
    <x v="0"/>
    <s v="Headset"/>
    <x v="1"/>
    <n v="2"/>
    <n v="1600"/>
    <n v="0.05"/>
    <n v="3040"/>
    <n v="1960"/>
    <n v="1080"/>
  </r>
  <r>
    <s v="ORD0162"/>
    <s v="2025-09-22"/>
    <x v="4"/>
    <x v="2"/>
    <s v="Business Laptop"/>
    <x v="3"/>
    <n v="1"/>
    <n v="58000"/>
    <n v="0"/>
    <n v="58000"/>
    <n v="46500"/>
    <n v="11500"/>
  </r>
  <r>
    <s v="ORD0001"/>
    <s v="2025-09-25"/>
    <x v="2"/>
    <x v="2"/>
    <s v="Business Laptop"/>
    <x v="3"/>
    <n v="3"/>
    <n v="58000"/>
    <n v="0.05"/>
    <n v="165300"/>
    <n v="139500"/>
    <n v="25800"/>
  </r>
  <r>
    <s v="ORD0048"/>
    <s v="2025-09-28"/>
    <x v="4"/>
    <x v="1"/>
    <s v="Business Laptop"/>
    <x v="3"/>
    <n v="3"/>
    <n v="58000"/>
    <n v="0.15"/>
    <n v="147900"/>
    <n v="139500"/>
    <n v="8400"/>
  </r>
  <r>
    <s v="ORD0006"/>
    <s v="2025-09-30"/>
    <x v="2"/>
    <x v="1"/>
    <s v="External SSD 1TB"/>
    <x v="2"/>
    <n v="3"/>
    <n v="6200"/>
    <n v="0"/>
    <n v="18600"/>
    <n v="14100"/>
    <n v="4500"/>
  </r>
  <r>
    <s v="ORD0014"/>
    <s v="2025-09-30"/>
    <x v="2"/>
    <x v="0"/>
    <s v="External SSD 1TB"/>
    <x v="2"/>
    <n v="4"/>
    <n v="6200"/>
    <n v="0.05"/>
    <n v="23560"/>
    <n v="18800"/>
    <n v="4760"/>
  </r>
  <r>
    <s v="ORD0135"/>
    <s v="2025-09-30"/>
    <x v="1"/>
    <x v="1"/>
    <s v="Wireless Mouse"/>
    <x v="1"/>
    <n v="1"/>
    <n v="650"/>
    <n v="0.05"/>
    <n v="617.5"/>
    <n v="390"/>
    <n v="227.5"/>
  </r>
  <r>
    <s v="ORD0141"/>
    <s v="2025-09-30"/>
    <x v="0"/>
    <x v="2"/>
    <s v="Business Laptop"/>
    <x v="3"/>
    <n v="2"/>
    <n v="58000"/>
    <n v="0"/>
    <n v="116000"/>
    <n v="93000"/>
    <n v="23000"/>
  </r>
  <r>
    <s v="ORD0041"/>
    <s v="2025-10-03"/>
    <x v="0"/>
    <x v="1"/>
    <s v="27-inch Monitor"/>
    <x v="0"/>
    <n v="1"/>
    <n v="14500"/>
    <n v="0.05"/>
    <n v="13775"/>
    <n v="11200"/>
    <n v="2575"/>
  </r>
  <r>
    <s v="ORD0204"/>
    <s v="2025-10-04"/>
    <x v="3"/>
    <x v="2"/>
    <s v="Laptop Stand"/>
    <x v="1"/>
    <n v="2"/>
    <n v="950"/>
    <n v="0.15"/>
    <n v="1615"/>
    <n v="1080"/>
    <n v="535"/>
  </r>
  <r>
    <s v="ORD0024"/>
    <s v="2025-10-05"/>
    <x v="4"/>
    <x v="1"/>
    <s v="Mechanical Keyboard"/>
    <x v="1"/>
    <n v="2"/>
    <n v="1800"/>
    <n v="0"/>
    <n v="3600"/>
    <n v="2300"/>
    <n v="1300"/>
  </r>
  <r>
    <s v="ORD0098"/>
    <s v="2025-10-05"/>
    <x v="4"/>
    <x v="0"/>
    <s v="24-inch Monitor"/>
    <x v="0"/>
    <n v="3"/>
    <n v="9800"/>
    <n v="0.05"/>
    <n v="27930"/>
    <n v="22200"/>
    <n v="5730"/>
  </r>
  <r>
    <s v="ORD0012"/>
    <s v="2025-10-13"/>
    <x v="2"/>
    <x v="2"/>
    <s v="Laptop Stand"/>
    <x v="1"/>
    <n v="5"/>
    <n v="950"/>
    <n v="0.15"/>
    <n v="4037.5"/>
    <n v="2700"/>
    <n v="1337.5"/>
  </r>
  <r>
    <s v="ORD0049"/>
    <s v="2025-10-14"/>
    <x v="2"/>
    <x v="0"/>
    <s v="USB-C Hub"/>
    <x v="1"/>
    <n v="1"/>
    <n v="1450"/>
    <n v="0.15"/>
    <n v="1232.5"/>
    <n v="900"/>
    <n v="332.5"/>
  </r>
  <r>
    <s v="ORD0097"/>
    <s v="2025-10-14"/>
    <x v="1"/>
    <x v="1"/>
    <s v="External SSD 1TB"/>
    <x v="2"/>
    <n v="5"/>
    <n v="6200"/>
    <n v="0"/>
    <n v="31000"/>
    <n v="23500"/>
    <n v="7500"/>
  </r>
  <r>
    <s v="ORD0019"/>
    <s v="2025-10-16"/>
    <x v="3"/>
    <x v="1"/>
    <s v="External SSD 1TB"/>
    <x v="2"/>
    <n v="3"/>
    <n v="6200"/>
    <n v="0.1"/>
    <n v="16740"/>
    <n v="14100"/>
    <n v="2640"/>
  </r>
  <r>
    <s v="ORD0091"/>
    <s v="2025-10-16"/>
    <x v="4"/>
    <x v="1"/>
    <s v="External SSD 1TB"/>
    <x v="2"/>
    <n v="3"/>
    <n v="6200"/>
    <n v="0.15"/>
    <n v="15810"/>
    <n v="14100"/>
    <n v="1710"/>
  </r>
  <r>
    <s v="ORD0117"/>
    <s v="2025-10-16"/>
    <x v="3"/>
    <x v="2"/>
    <s v="Budget Laptop"/>
    <x v="3"/>
    <n v="5"/>
    <n v="38500"/>
    <n v="0.05"/>
    <n v="182875"/>
    <n v="155000"/>
    <n v="27875"/>
  </r>
  <r>
    <s v="ORD0010"/>
    <s v="2025-10-20"/>
    <x v="1"/>
    <x v="0"/>
    <s v="Wireless Mouse"/>
    <x v="1"/>
    <n v="4"/>
    <n v="650"/>
    <n v="0.05"/>
    <n v="2470"/>
    <n v="1560"/>
    <n v="910"/>
  </r>
  <r>
    <s v="ORD0047"/>
    <s v="2025-10-20"/>
    <x v="3"/>
    <x v="0"/>
    <s v="USB-C Hub"/>
    <x v="1"/>
    <n v="3"/>
    <n v="1450"/>
    <n v="0"/>
    <n v="4350"/>
    <n v="2700"/>
    <n v="1650"/>
  </r>
  <r>
    <s v="ORD0100"/>
    <s v="2025-10-20"/>
    <x v="4"/>
    <x v="2"/>
    <s v="Budget Laptop"/>
    <x v="3"/>
    <n v="4"/>
    <n v="38500"/>
    <n v="0"/>
    <n v="154000"/>
    <n v="124000"/>
    <n v="30000"/>
  </r>
  <r>
    <s v="ORD0178"/>
    <s v="2025-10-20"/>
    <x v="4"/>
    <x v="1"/>
    <s v="Budget Laptop"/>
    <x v="3"/>
    <n v="3"/>
    <n v="38500"/>
    <n v="0.15"/>
    <n v="98175"/>
    <n v="93000"/>
    <n v="5175"/>
  </r>
  <r>
    <s v="ORD0150"/>
    <s v="2025-10-22"/>
    <x v="2"/>
    <x v="1"/>
    <s v="External HDD 2TB"/>
    <x v="2"/>
    <n v="1"/>
    <n v="4900"/>
    <n v="0"/>
    <n v="4900"/>
    <n v="3600"/>
    <n v="1300"/>
  </r>
  <r>
    <s v="ORD0187"/>
    <s v="2025-10-23"/>
    <x v="3"/>
    <x v="0"/>
    <s v="External SSD 1TB"/>
    <x v="2"/>
    <n v="4"/>
    <n v="6200"/>
    <n v="0.05"/>
    <n v="23560"/>
    <n v="18800"/>
    <n v="4760"/>
  </r>
  <r>
    <s v="ORD0136"/>
    <s v="2025-10-26"/>
    <x v="3"/>
    <x v="2"/>
    <s v="Headset"/>
    <x v="1"/>
    <n v="1"/>
    <n v="1600"/>
    <n v="0"/>
    <n v="1600"/>
    <n v="980"/>
    <n v="620"/>
  </r>
  <r>
    <s v="ORD0146"/>
    <s v="2025-10-26"/>
    <x v="1"/>
    <x v="1"/>
    <s v="Headset"/>
    <x v="1"/>
    <n v="3"/>
    <n v="1600"/>
    <n v="0"/>
    <n v="4800"/>
    <n v="2940"/>
    <n v="1860"/>
  </r>
  <r>
    <s v="ORD0099"/>
    <s v="2025-10-27"/>
    <x v="4"/>
    <x v="0"/>
    <s v="External HDD 2TB"/>
    <x v="2"/>
    <n v="3"/>
    <n v="4900"/>
    <n v="0.15"/>
    <n v="12495"/>
    <n v="10800"/>
    <n v="1695"/>
  </r>
  <r>
    <s v="ORD0020"/>
    <s v="2025-10-30"/>
    <x v="4"/>
    <x v="1"/>
    <s v="Business Laptop"/>
    <x v="3"/>
    <n v="1"/>
    <n v="58000"/>
    <n v="0.05"/>
    <n v="55100"/>
    <n v="46500"/>
    <n v="8600"/>
  </r>
  <r>
    <s v="ORD0087"/>
    <s v="2025-10-30"/>
    <x v="2"/>
    <x v="1"/>
    <s v="Webcam HD"/>
    <x v="1"/>
    <n v="1"/>
    <n v="2100"/>
    <n v="0"/>
    <n v="2100"/>
    <n v="1450"/>
    <n v="650"/>
  </r>
  <r>
    <s v="ORD0082"/>
    <s v="2025-10-31"/>
    <x v="3"/>
    <x v="2"/>
    <s v="Mechanical Keyboard"/>
    <x v="1"/>
    <n v="3"/>
    <n v="1800"/>
    <n v="0"/>
    <n v="5400"/>
    <n v="3450"/>
    <n v="1950"/>
  </r>
  <r>
    <s v="ORD0212"/>
    <s v="2025-11-03"/>
    <x v="2"/>
    <x v="1"/>
    <s v="27-inch Monitor"/>
    <x v="0"/>
    <n v="2"/>
    <n v="14500"/>
    <n v="0.1"/>
    <n v="26100"/>
    <n v="22400"/>
    <n v="3700"/>
  </r>
  <r>
    <s v="ORD0156"/>
    <s v="2025-11-06"/>
    <x v="4"/>
    <x v="0"/>
    <s v="Business Laptop"/>
    <x v="3"/>
    <n v="2"/>
    <n v="58000"/>
    <n v="0.05"/>
    <n v="110200"/>
    <n v="93000"/>
    <n v="17200"/>
  </r>
  <r>
    <s v="ORD0198"/>
    <s v="2025-11-12"/>
    <x v="1"/>
    <x v="0"/>
    <s v="Webcam HD"/>
    <x v="1"/>
    <n v="1"/>
    <n v="2100"/>
    <n v="0.1"/>
    <n v="1890"/>
    <n v="1450"/>
    <n v="440"/>
  </r>
  <r>
    <s v="ORD0153"/>
    <s v="2025-11-18"/>
    <x v="3"/>
    <x v="0"/>
    <s v="Budget Laptop"/>
    <x v="3"/>
    <n v="4"/>
    <n v="38500"/>
    <n v="0.15"/>
    <n v="130900"/>
    <n v="124000"/>
    <n v="6900"/>
  </r>
  <r>
    <s v="ORD0236"/>
    <s v="2025-11-18"/>
    <x v="3"/>
    <x v="1"/>
    <s v="Wireless Mouse"/>
    <x v="1"/>
    <n v="2"/>
    <n v="650"/>
    <n v="0.1"/>
    <n v="1170"/>
    <n v="780"/>
    <n v="390"/>
  </r>
  <r>
    <s v="ORD0064"/>
    <s v="2025-11-21"/>
    <x v="2"/>
    <x v="1"/>
    <s v="Business Laptop"/>
    <x v="3"/>
    <n v="1"/>
    <n v="58000"/>
    <n v="0"/>
    <n v="58000"/>
    <n v="46500"/>
    <n v="11500"/>
  </r>
  <r>
    <s v="ORD0205"/>
    <s v="2025-11-24"/>
    <x v="4"/>
    <x v="2"/>
    <s v="24-inch Monitor"/>
    <x v="0"/>
    <n v="1"/>
    <n v="9800"/>
    <n v="0.1"/>
    <n v="8820"/>
    <n v="7400"/>
    <n v="1420"/>
  </r>
  <r>
    <s v="ORD0235"/>
    <s v="2025-11-25"/>
    <x v="3"/>
    <x v="1"/>
    <s v="27-inch Monitor"/>
    <x v="0"/>
    <n v="1"/>
    <n v="14500"/>
    <n v="0.1"/>
    <n v="13050"/>
    <n v="11200"/>
    <n v="1850"/>
  </r>
  <r>
    <s v="ORD0134"/>
    <s v="2025-11-26"/>
    <x v="2"/>
    <x v="1"/>
    <s v="27-inch Monitor"/>
    <x v="0"/>
    <n v="1"/>
    <n v="14500"/>
    <n v="0.15"/>
    <n v="12325"/>
    <n v="11200"/>
    <n v="1125"/>
  </r>
  <r>
    <s v="ORD0074"/>
    <s v="2025-11-28"/>
    <x v="0"/>
    <x v="1"/>
    <s v="Wireless Mouse"/>
    <x v="1"/>
    <n v="3"/>
    <n v="650"/>
    <n v="0.05"/>
    <n v="1852.5"/>
    <n v="1170"/>
    <n v="682.5"/>
  </r>
  <r>
    <s v="ORD0133"/>
    <s v="2025-11-29"/>
    <x v="4"/>
    <x v="1"/>
    <s v="Headset"/>
    <x v="1"/>
    <n v="1"/>
    <n v="1600"/>
    <n v="0.15"/>
    <n v="1360"/>
    <n v="980"/>
    <n v="380"/>
  </r>
  <r>
    <s v="ORD0143"/>
    <s v="2025-11-29"/>
    <x v="1"/>
    <x v="2"/>
    <s v="27-inch Monitor"/>
    <x v="0"/>
    <n v="1"/>
    <n v="14500"/>
    <n v="0"/>
    <n v="14500"/>
    <n v="11200"/>
    <n v="3300"/>
  </r>
  <r>
    <s v="ORD0181"/>
    <s v="2025-12-01"/>
    <x v="2"/>
    <x v="2"/>
    <s v="External HDD 2TB"/>
    <x v="2"/>
    <n v="3"/>
    <n v="4900"/>
    <n v="0.05"/>
    <n v="13965"/>
    <n v="10800"/>
    <n v="3165"/>
  </r>
  <r>
    <s v="ORD0225"/>
    <s v="2025-12-04"/>
    <x v="0"/>
    <x v="1"/>
    <s v="External HDD 2TB"/>
    <x v="2"/>
    <n v="5"/>
    <n v="4900"/>
    <n v="0.05"/>
    <n v="23275"/>
    <n v="18000"/>
    <n v="5275"/>
  </r>
  <r>
    <s v="ORD0152"/>
    <s v="2025-12-07"/>
    <x v="1"/>
    <x v="2"/>
    <s v="USB-C Hub"/>
    <x v="1"/>
    <n v="4"/>
    <n v="1450"/>
    <n v="0.05"/>
    <n v="5510"/>
    <n v="3600"/>
    <n v="1910"/>
  </r>
  <r>
    <s v="ORD0140"/>
    <s v="2025-12-09"/>
    <x v="0"/>
    <x v="1"/>
    <s v="Headset"/>
    <x v="1"/>
    <n v="4"/>
    <n v="1600"/>
    <n v="0.05"/>
    <n v="6080"/>
    <n v="3920"/>
    <n v="2160"/>
  </r>
  <r>
    <s v="ORD0229"/>
    <s v="2025-12-09"/>
    <x v="1"/>
    <x v="0"/>
    <s v="Laptop Stand"/>
    <x v="1"/>
    <n v="2"/>
    <n v="950"/>
    <n v="0.05"/>
    <n v="1805"/>
    <n v="1080"/>
    <n v="725"/>
  </r>
  <r>
    <s v="ORD0182"/>
    <s v="2025-12-13"/>
    <x v="0"/>
    <x v="2"/>
    <s v="Wireless Mouse"/>
    <x v="1"/>
    <n v="1"/>
    <n v="650"/>
    <n v="0"/>
    <n v="650"/>
    <n v="390"/>
    <n v="260"/>
  </r>
  <r>
    <s v="ORD0046"/>
    <s v="2025-12-17"/>
    <x v="4"/>
    <x v="1"/>
    <s v="Laptop Stand"/>
    <x v="1"/>
    <n v="2"/>
    <n v="950"/>
    <n v="0"/>
    <n v="1900"/>
    <n v="1080"/>
    <n v="820"/>
  </r>
  <r>
    <s v="ORD0067"/>
    <s v="2025-12-17"/>
    <x v="4"/>
    <x v="0"/>
    <s v="Business Laptop"/>
    <x v="3"/>
    <n v="2"/>
    <n v="58000"/>
    <n v="0.05"/>
    <n v="110200"/>
    <n v="93000"/>
    <n v="17200"/>
  </r>
  <r>
    <s v="ORD0177"/>
    <s v="2025-12-18"/>
    <x v="4"/>
    <x v="0"/>
    <s v="24-inch Monitor"/>
    <x v="0"/>
    <n v="3"/>
    <n v="9800"/>
    <n v="0.05"/>
    <n v="27930"/>
    <n v="22200"/>
    <n v="5730"/>
  </r>
  <r>
    <s v="ORD0213"/>
    <s v="2025-12-25"/>
    <x v="0"/>
    <x v="0"/>
    <s v="Webcam HD"/>
    <x v="1"/>
    <n v="5"/>
    <n v="2100"/>
    <n v="0"/>
    <n v="10500"/>
    <n v="7250"/>
    <n v="3250"/>
  </r>
  <r>
    <s v="ORD0002"/>
    <s v="2025-12-28"/>
    <x v="1"/>
    <x v="2"/>
    <s v="Headset"/>
    <x v="1"/>
    <n v="2"/>
    <n v="1600"/>
    <n v="0.05"/>
    <n v="3040"/>
    <n v="1960"/>
    <n v="1080"/>
  </r>
  <r>
    <s v="ORD0186"/>
    <s v="2025-12-29"/>
    <x v="1"/>
    <x v="1"/>
    <s v="Headset"/>
    <x v="1"/>
    <n v="1"/>
    <n v="1600"/>
    <n v="0"/>
    <n v="1600"/>
    <n v="980"/>
    <n v="620"/>
  </r>
  <r>
    <s v="ORD0105"/>
    <s v="2025-12-30"/>
    <x v="1"/>
    <x v="2"/>
    <s v="Headset"/>
    <x v="1"/>
    <n v="4"/>
    <n v="1600"/>
    <n v="0.1"/>
    <n v="5760"/>
    <n v="3920"/>
    <n v="1840"/>
  </r>
  <r>
    <s v="ORD0179"/>
    <s v="2025-12-30"/>
    <x v="4"/>
    <x v="0"/>
    <s v="Laptop Stand"/>
    <x v="1"/>
    <n v="1"/>
    <n v="950"/>
    <n v="0"/>
    <n v="950"/>
    <n v="540"/>
    <n v="410"/>
  </r>
  <r>
    <s v="ORD0096"/>
    <s v="2025-12-31"/>
    <x v="1"/>
    <x v="1"/>
    <s v="24-inch Monitor"/>
    <x v="0"/>
    <n v="3"/>
    <n v="9800"/>
    <n v="0.1"/>
    <n v="26460"/>
    <n v="22200"/>
    <n v="42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A047B5-F176-41E0-B6D7-02C13057BC7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pivotFields count="12">
    <pivotField showAll="0"/>
    <pivotField showAll="0"/>
    <pivotField axis="axisRow" showAll="0">
      <items count="6">
        <item x="0"/>
        <item x="2"/>
        <item x="1"/>
        <item x="4"/>
        <item x="3"/>
        <item t="default"/>
      </items>
    </pivotField>
    <pivotField showAll="0">
      <items count="4">
        <item x="2"/>
        <item x="1"/>
        <item x="0"/>
        <item t="default"/>
      </items>
    </pivotField>
    <pivotField showAll="0"/>
    <pivotField showAll="0">
      <items count="5">
        <item x="1"/>
        <item x="3"/>
        <item x="0"/>
        <item x="2"/>
        <item t="default"/>
      </items>
    </pivotField>
    <pivotField showAll="0"/>
    <pivotField numFmtId="165" showAll="0"/>
    <pivotField numFmtId="9" showAll="0"/>
    <pivotField dataField="1" numFmtId="165" showAll="0"/>
    <pivotField numFmtId="165" showAll="0"/>
    <pivotField dataField="1" numFmtId="165" showAll="0"/>
  </pivotFields>
  <rowFields count="1">
    <field x="2"/>
  </rowFields>
  <rowItems count="6">
    <i>
      <x/>
    </i>
    <i>
      <x v="1"/>
    </i>
    <i>
      <x v="2"/>
    </i>
    <i>
      <x v="3"/>
    </i>
    <i>
      <x v="4"/>
    </i>
    <i t="grand">
      <x/>
    </i>
  </rowItems>
  <colFields count="1">
    <field x="-2"/>
  </colFields>
  <colItems count="2">
    <i>
      <x/>
    </i>
    <i i="1">
      <x v="1"/>
    </i>
  </colItems>
  <dataFields count="2">
    <dataField name="Sum of Sales" fld="9" baseField="0" baseItem="0" numFmtId="165"/>
    <dataField name="Sum of Profit" fld="11" baseField="0" baseItem="0" numFmtId="165"/>
  </dataFields>
  <pivotTableStyleInfo name="PivotStyleMedium13"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98C86D-5421-45A6-8514-239FA5A5C37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C24" firstHeaderRow="0" firstDataRow="1" firstDataCol="1"/>
  <pivotFields count="12">
    <pivotField showAll="0"/>
    <pivotField showAll="0"/>
    <pivotField showAll="0">
      <items count="6">
        <item x="0"/>
        <item x="2"/>
        <item x="1"/>
        <item x="4"/>
        <item x="3"/>
        <item t="default"/>
      </items>
    </pivotField>
    <pivotField axis="axisRow" showAll="0">
      <items count="4">
        <item x="2"/>
        <item x="1"/>
        <item x="0"/>
        <item t="default"/>
      </items>
    </pivotField>
    <pivotField showAll="0"/>
    <pivotField showAll="0">
      <items count="5">
        <item x="1"/>
        <item x="3"/>
        <item x="0"/>
        <item x="2"/>
        <item t="default"/>
      </items>
    </pivotField>
    <pivotField showAll="0"/>
    <pivotField numFmtId="165" showAll="0"/>
    <pivotField numFmtId="9" showAll="0"/>
    <pivotField dataField="1" numFmtId="165" showAll="0"/>
    <pivotField numFmtId="165" showAll="0"/>
    <pivotField dataField="1" numFmtId="165" showAll="0"/>
  </pivotFields>
  <rowFields count="1">
    <field x="3"/>
  </rowFields>
  <rowItems count="4">
    <i>
      <x/>
    </i>
    <i>
      <x v="1"/>
    </i>
    <i>
      <x v="2"/>
    </i>
    <i t="grand">
      <x/>
    </i>
  </rowItems>
  <colFields count="1">
    <field x="-2"/>
  </colFields>
  <colItems count="2">
    <i>
      <x/>
    </i>
    <i i="1">
      <x v="1"/>
    </i>
  </colItems>
  <dataFields count="2">
    <dataField name="Sum of Sales" fld="9" baseField="0" baseItem="0" numFmtId="165"/>
    <dataField name="Sum of Profit" fld="11" baseField="0" baseItem="0" numFmtId="165"/>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4ADF55-9AA1-4BB6-85CB-0B70DF158FF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C17" firstHeaderRow="0" firstDataRow="1" firstDataCol="1"/>
  <pivotFields count="12">
    <pivotField showAll="0"/>
    <pivotField showAll="0"/>
    <pivotField showAll="0">
      <items count="6">
        <item x="0"/>
        <item x="2"/>
        <item x="1"/>
        <item x="4"/>
        <item x="3"/>
        <item t="default"/>
      </items>
    </pivotField>
    <pivotField showAll="0">
      <items count="4">
        <item x="2"/>
        <item x="1"/>
        <item x="0"/>
        <item t="default"/>
      </items>
    </pivotField>
    <pivotField showAll="0"/>
    <pivotField axis="axisRow" showAll="0">
      <items count="5">
        <item x="1"/>
        <item x="3"/>
        <item x="0"/>
        <item x="2"/>
        <item t="default"/>
      </items>
    </pivotField>
    <pivotField showAll="0"/>
    <pivotField numFmtId="165" showAll="0"/>
    <pivotField numFmtId="9" showAll="0"/>
    <pivotField dataField="1" numFmtId="165" showAll="0"/>
    <pivotField numFmtId="165" showAll="0"/>
    <pivotField dataField="1" numFmtId="165" showAll="0"/>
  </pivotFields>
  <rowFields count="1">
    <field x="5"/>
  </rowFields>
  <rowItems count="5">
    <i>
      <x/>
    </i>
    <i>
      <x v="1"/>
    </i>
    <i>
      <x v="2"/>
    </i>
    <i>
      <x v="3"/>
    </i>
    <i t="grand">
      <x/>
    </i>
  </rowItems>
  <colFields count="1">
    <field x="-2"/>
  </colFields>
  <colItems count="2">
    <i>
      <x/>
    </i>
    <i i="1">
      <x v="1"/>
    </i>
  </colItems>
  <dataFields count="2">
    <dataField name="Sum of Sales" fld="9" baseField="0" baseItem="0" numFmtId="165"/>
    <dataField name="Sum of Profit" fld="11" baseField="0" baseItem="0" numFmtId="165"/>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636642C-3B59-4219-9236-FC9F989FC327}" sourceName="Region">
  <pivotTables>
    <pivotTable tabId="5" name="PivotTable2"/>
    <pivotTable tabId="5" name="PivotTable4"/>
    <pivotTable tabId="5" name="PivotTable5"/>
  </pivotTables>
  <data>
    <tabular pivotCacheId="903012984">
      <items count="5">
        <i x="0" s="1"/>
        <i x="2"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58DEE92-74ED-42EF-8201-51D59AB4ED33}" sourceName="Category">
  <pivotTables>
    <pivotTable tabId="5" name="PivotTable4"/>
    <pivotTable tabId="5" name="PivotTable2"/>
    <pivotTable tabId="5" name="PivotTable5"/>
  </pivotTables>
  <data>
    <tabular pivotCacheId="903012984">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4CA6CBC0-659B-4BBF-B21C-ACF27BAD0A76}" sourceName="Channel">
  <pivotTables>
    <pivotTable tabId="5" name="PivotTable5"/>
    <pivotTable tabId="5" name="PivotTable2"/>
    <pivotTable tabId="5" name="PivotTable4"/>
  </pivotTables>
  <data>
    <tabular pivotCacheId="90301298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7448FDB-E808-4384-9CD8-E3C5B9D46E0E}" cache="Slicer_Region" caption="Region" style="SlicerStyleLight5" rowHeight="241300"/>
  <slicer name="Category" xr10:uid="{65CB4BE7-73E5-471F-BB6D-B28AF34675FF}" cache="Slicer_Category" caption="Category" style="SlicerStyleLight5" rowHeight="241300"/>
  <slicer name="Channel" xr10:uid="{5CE8F25C-AD1E-49A5-9348-39EBEFF912B1}" cache="Slicer_Channel" caption="Channel" style="SlicerStyleLigh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L241">
  <autoFilter ref="A1:L241" xr:uid="{00000000-0009-0000-0100-000001000000}"/>
  <tableColumns count="12">
    <tableColumn id="1" xr3:uid="{00000000-0010-0000-0000-000001000000}" name="OrderID"/>
    <tableColumn id="2" xr3:uid="{00000000-0010-0000-0000-000002000000}" name="OrderDate"/>
    <tableColumn id="3" xr3:uid="{00000000-0010-0000-0000-000003000000}" name="Region"/>
    <tableColumn id="4" xr3:uid="{00000000-0010-0000-0000-000004000000}" name="Channel"/>
    <tableColumn id="5" xr3:uid="{00000000-0010-0000-0000-000005000000}" name="Product"/>
    <tableColumn id="6" xr3:uid="{00000000-0010-0000-0000-000006000000}" name="Category"/>
    <tableColumn id="7" xr3:uid="{00000000-0010-0000-0000-000007000000}" name="Quantity"/>
    <tableColumn id="8" xr3:uid="{00000000-0010-0000-0000-000008000000}" name="UnitPrice"/>
    <tableColumn id="9" xr3:uid="{00000000-0010-0000-0000-000009000000}" name="DiscountPct"/>
    <tableColumn id="10" xr3:uid="{00000000-0010-0000-0000-00000A000000}" name="Sales"/>
    <tableColumn id="11" xr3:uid="{00000000-0010-0000-0000-00000B000000}" name="Cost"/>
    <tableColumn id="12" xr3:uid="{00000000-0010-0000-0000-00000C000000}"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7"/>
  <sheetViews>
    <sheetView showGridLines="0" tabSelected="1" topLeftCell="A23" zoomScale="85" zoomScaleNormal="47" workbookViewId="0">
      <selection activeCell="P20" sqref="P20"/>
    </sheetView>
  </sheetViews>
  <sheetFormatPr defaultRowHeight="14.5" x14ac:dyDescent="0.35"/>
  <cols>
    <col min="1" max="1" width="14.1796875" bestFit="1" customWidth="1"/>
    <col min="2" max="2" width="20.6328125" customWidth="1"/>
    <col min="3" max="3" width="21.6328125" bestFit="1" customWidth="1"/>
    <col min="4" max="4" width="19" customWidth="1"/>
    <col min="5" max="5" width="21" bestFit="1" customWidth="1"/>
    <col min="6" max="6" width="16.54296875" customWidth="1"/>
    <col min="7" max="7" width="16" customWidth="1"/>
    <col min="8" max="8" width="19" customWidth="1"/>
    <col min="9" max="9" width="8.7265625" customWidth="1"/>
    <col min="12" max="12" width="16.08984375" bestFit="1" customWidth="1"/>
  </cols>
  <sheetData>
    <row r="1" spans="1:15" ht="26" customHeight="1" x14ac:dyDescent="0.35">
      <c r="A1" s="24" t="s">
        <v>493</v>
      </c>
      <c r="B1" s="24"/>
      <c r="C1" s="24"/>
      <c r="D1" s="24"/>
      <c r="E1" s="24"/>
      <c r="F1" s="24"/>
      <c r="G1" s="24"/>
      <c r="H1" s="24"/>
      <c r="I1" s="24"/>
      <c r="J1" s="24"/>
      <c r="K1" s="24"/>
      <c r="L1" s="24"/>
      <c r="M1" s="24"/>
      <c r="N1" s="24"/>
      <c r="O1" s="24"/>
    </row>
    <row r="2" spans="1:15" x14ac:dyDescent="0.35">
      <c r="A2" s="25" t="s">
        <v>0</v>
      </c>
      <c r="B2" s="25"/>
      <c r="C2" s="25"/>
      <c r="D2" s="25"/>
      <c r="E2" s="25"/>
      <c r="F2" s="25"/>
      <c r="G2" s="25"/>
      <c r="H2" s="25"/>
      <c r="I2" s="25"/>
      <c r="J2" s="25"/>
      <c r="K2" s="25"/>
      <c r="L2" s="25"/>
      <c r="M2" s="25"/>
      <c r="N2" s="25"/>
      <c r="O2" s="25"/>
    </row>
    <row r="3" spans="1:15" s="16" customFormat="1" x14ac:dyDescent="0.35"/>
    <row r="4" spans="1:15" s="16" customFormat="1" x14ac:dyDescent="0.35"/>
    <row r="5" spans="1:15" s="17" customFormat="1" ht="24" customHeight="1" x14ac:dyDescent="0.35">
      <c r="C5" s="20" t="s">
        <v>1</v>
      </c>
      <c r="E5" s="20" t="s">
        <v>2</v>
      </c>
      <c r="H5" s="20" t="s">
        <v>3</v>
      </c>
      <c r="L5" s="20" t="s">
        <v>4</v>
      </c>
    </row>
    <row r="6" spans="1:15" s="17" customFormat="1" ht="32" customHeight="1" x14ac:dyDescent="0.5">
      <c r="C6" s="23">
        <v>6949065</v>
      </c>
      <c r="E6" s="23">
        <v>1062875</v>
      </c>
      <c r="H6" s="21">
        <v>240</v>
      </c>
      <c r="L6" s="22">
        <v>0.15295223170311401</v>
      </c>
    </row>
    <row r="7" spans="1:15" s="16" customFormat="1" x14ac:dyDescent="0.35"/>
    <row r="8" spans="1:15" s="16" customFormat="1" x14ac:dyDescent="0.35"/>
    <row r="9" spans="1:15" s="16" customFormat="1" x14ac:dyDescent="0.35"/>
    <row r="10" spans="1:15" s="16" customFormat="1" x14ac:dyDescent="0.35"/>
    <row r="11" spans="1:15" s="16" customFormat="1" x14ac:dyDescent="0.35"/>
    <row r="12" spans="1:15" s="16" customFormat="1" x14ac:dyDescent="0.35"/>
    <row r="13" spans="1:15" s="16" customFormat="1" x14ac:dyDescent="0.35"/>
    <row r="14" spans="1:15" s="16" customFormat="1" x14ac:dyDescent="0.35"/>
    <row r="15" spans="1:15" s="16" customFormat="1" x14ac:dyDescent="0.35"/>
    <row r="16" spans="1:15" s="16" customFormat="1" x14ac:dyDescent="0.35"/>
    <row r="17" s="16" customFormat="1" x14ac:dyDescent="0.35"/>
    <row r="18" s="16" customFormat="1" x14ac:dyDescent="0.35"/>
    <row r="19" s="16" customFormat="1" x14ac:dyDescent="0.35"/>
    <row r="20" s="16" customFormat="1" x14ac:dyDescent="0.35"/>
    <row r="21" s="16" customFormat="1" x14ac:dyDescent="0.35"/>
    <row r="22" s="16" customFormat="1" x14ac:dyDescent="0.35"/>
    <row r="23" s="16" customFormat="1" x14ac:dyDescent="0.35"/>
    <row r="24" s="16" customFormat="1" x14ac:dyDescent="0.35"/>
    <row r="25" s="16" customFormat="1" x14ac:dyDescent="0.35"/>
    <row r="26" s="16" customFormat="1" x14ac:dyDescent="0.35"/>
    <row r="27" s="16" customFormat="1" x14ac:dyDescent="0.35"/>
    <row r="28" s="16" customFormat="1" x14ac:dyDescent="0.35"/>
    <row r="29" s="16" customFormat="1" x14ac:dyDescent="0.35"/>
    <row r="30" s="16" customFormat="1" x14ac:dyDescent="0.35"/>
    <row r="31" s="16" customFormat="1" x14ac:dyDescent="0.35"/>
    <row r="32" s="16" customFormat="1" x14ac:dyDescent="0.35"/>
    <row r="33" spans="1:7" s="16" customFormat="1" x14ac:dyDescent="0.35"/>
    <row r="34" spans="1:7" s="16" customFormat="1" x14ac:dyDescent="0.35"/>
    <row r="35" spans="1:7" s="16" customFormat="1" x14ac:dyDescent="0.35"/>
    <row r="36" spans="1:7" s="16" customFormat="1" x14ac:dyDescent="0.35"/>
    <row r="37" spans="1:7" s="16" customFormat="1" x14ac:dyDescent="0.35"/>
    <row r="38" spans="1:7" s="16" customFormat="1" x14ac:dyDescent="0.35"/>
    <row r="39" spans="1:7" s="16" customFormat="1" x14ac:dyDescent="0.35"/>
    <row r="40" spans="1:7" s="16" customFormat="1" x14ac:dyDescent="0.35"/>
    <row r="41" spans="1:7" s="16" customFormat="1" x14ac:dyDescent="0.35"/>
    <row r="42" spans="1:7" s="16" customFormat="1" x14ac:dyDescent="0.35"/>
    <row r="43" spans="1:7" s="16" customFormat="1" x14ac:dyDescent="0.35"/>
    <row r="44" spans="1:7" s="16" customFormat="1" x14ac:dyDescent="0.35">
      <c r="A44" s="18"/>
      <c r="B44" s="18"/>
      <c r="C44" s="18"/>
      <c r="E44" s="18"/>
      <c r="F44" s="18"/>
      <c r="G44" s="18"/>
    </row>
    <row r="45" spans="1:7" s="16" customFormat="1" x14ac:dyDescent="0.35">
      <c r="B45" s="19"/>
      <c r="C45" s="19"/>
      <c r="F45" s="19"/>
      <c r="G45" s="19"/>
    </row>
    <row r="46" spans="1:7" s="16" customFormat="1" x14ac:dyDescent="0.35">
      <c r="B46" s="19"/>
      <c r="C46" s="19"/>
      <c r="F46" s="19"/>
      <c r="G46" s="19"/>
    </row>
    <row r="47" spans="1:7" s="16" customFormat="1" x14ac:dyDescent="0.35">
      <c r="B47" s="19"/>
      <c r="C47" s="19"/>
      <c r="F47" s="19"/>
      <c r="G47" s="19"/>
    </row>
    <row r="48" spans="1:7" s="16" customFormat="1" x14ac:dyDescent="0.35">
      <c r="B48" s="19"/>
      <c r="C48" s="19"/>
      <c r="F48" s="19"/>
      <c r="G48" s="19"/>
    </row>
    <row r="49" spans="1:7" s="16" customFormat="1" x14ac:dyDescent="0.35">
      <c r="B49" s="19"/>
      <c r="C49" s="19"/>
      <c r="F49" s="19"/>
      <c r="G49" s="19"/>
    </row>
    <row r="50" spans="1:7" s="16" customFormat="1" x14ac:dyDescent="0.35">
      <c r="B50" s="19"/>
      <c r="C50" s="19"/>
    </row>
    <row r="51" spans="1:7" x14ac:dyDescent="0.35">
      <c r="A51" s="11"/>
      <c r="B51" s="13"/>
      <c r="C51" s="13"/>
    </row>
    <row r="52" spans="1:7" x14ac:dyDescent="0.35">
      <c r="A52" s="11"/>
      <c r="B52" s="13"/>
      <c r="C52" s="13"/>
      <c r="E52" s="11"/>
      <c r="F52" s="11"/>
      <c r="G52" s="11"/>
    </row>
    <row r="53" spans="1:7" x14ac:dyDescent="0.35">
      <c r="A53" s="11"/>
      <c r="B53" s="13"/>
      <c r="C53" s="13"/>
      <c r="E53" s="12"/>
      <c r="F53" s="12"/>
      <c r="G53" s="12"/>
    </row>
    <row r="54" spans="1:7" x14ac:dyDescent="0.35">
      <c r="A54" s="11"/>
      <c r="B54" s="13"/>
      <c r="C54" s="13"/>
      <c r="E54" s="11"/>
      <c r="F54" s="11"/>
      <c r="G54" s="11"/>
    </row>
    <row r="55" spans="1:7" x14ac:dyDescent="0.35">
      <c r="A55" s="11"/>
      <c r="B55" s="13"/>
      <c r="C55" s="13"/>
      <c r="E55" s="11"/>
      <c r="F55" s="11"/>
      <c r="G55" s="11"/>
    </row>
    <row r="56" spans="1:7" x14ac:dyDescent="0.35">
      <c r="A56" s="11"/>
      <c r="B56" s="13"/>
      <c r="C56" s="13"/>
      <c r="E56" s="11"/>
      <c r="F56" s="11"/>
      <c r="G56" s="11"/>
    </row>
    <row r="57" spans="1:7" x14ac:dyDescent="0.35">
      <c r="E57" s="11"/>
      <c r="F57" s="11"/>
      <c r="G57" s="11"/>
    </row>
  </sheetData>
  <mergeCells count="2">
    <mergeCell ref="A1:O1"/>
    <mergeCell ref="A2:O2"/>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73058-A662-4D3F-B6F2-A2F984448FFD}">
  <dimension ref="A1:G21"/>
  <sheetViews>
    <sheetView workbookViewId="0">
      <pane ySplit="1" topLeftCell="A2" activePane="bottomLeft" state="frozen"/>
      <selection pane="bottomLeft" activeCell="A2" sqref="A2"/>
    </sheetView>
  </sheetViews>
  <sheetFormatPr defaultRowHeight="14.5" x14ac:dyDescent="0.35"/>
  <cols>
    <col min="1" max="1" width="19.6328125" bestFit="1" customWidth="1"/>
    <col min="2" max="2" width="12.08984375" customWidth="1"/>
    <col min="3" max="3" width="12" customWidth="1"/>
    <col min="6" max="6" width="9.7265625" bestFit="1" customWidth="1"/>
  </cols>
  <sheetData>
    <row r="1" spans="1:7" ht="15.5" x14ac:dyDescent="0.35">
      <c r="A1" s="10" t="s">
        <v>494</v>
      </c>
      <c r="E1" s="10" t="s">
        <v>5</v>
      </c>
    </row>
    <row r="2" spans="1:7" x14ac:dyDescent="0.35">
      <c r="A2" s="1" t="s">
        <v>6</v>
      </c>
      <c r="B2" s="1" t="s">
        <v>7</v>
      </c>
      <c r="C2" s="1" t="s">
        <v>8</v>
      </c>
      <c r="E2" s="1" t="s">
        <v>9</v>
      </c>
      <c r="F2" s="1" t="s">
        <v>7</v>
      </c>
      <c r="G2" s="1" t="s">
        <v>8</v>
      </c>
    </row>
    <row r="3" spans="1:7" x14ac:dyDescent="0.35">
      <c r="A3" s="14" t="s">
        <v>10</v>
      </c>
      <c r="B3" s="15">
        <v>474742.5</v>
      </c>
      <c r="C3" s="15">
        <v>92012.5</v>
      </c>
      <c r="E3" s="14" t="s">
        <v>11</v>
      </c>
      <c r="F3" s="15">
        <v>1899005</v>
      </c>
      <c r="G3" s="15">
        <v>279025</v>
      </c>
    </row>
    <row r="4" spans="1:7" x14ac:dyDescent="0.35">
      <c r="A4" s="14" t="s">
        <v>12</v>
      </c>
      <c r="B4" s="15">
        <v>816200</v>
      </c>
      <c r="C4" s="15">
        <v>114820</v>
      </c>
      <c r="E4" s="14" t="s">
        <v>13</v>
      </c>
      <c r="F4" s="15">
        <v>1597210</v>
      </c>
      <c r="G4" s="15">
        <v>239230</v>
      </c>
    </row>
    <row r="5" spans="1:7" x14ac:dyDescent="0.35">
      <c r="A5" s="14" t="s">
        <v>14</v>
      </c>
      <c r="B5" s="15">
        <v>915047.5</v>
      </c>
      <c r="C5" s="15">
        <v>104037.5</v>
      </c>
      <c r="E5" s="14" t="s">
        <v>15</v>
      </c>
      <c r="F5" s="15">
        <v>1278862.5</v>
      </c>
      <c r="G5" s="15">
        <v>161792.5</v>
      </c>
    </row>
    <row r="6" spans="1:7" x14ac:dyDescent="0.35">
      <c r="A6" s="14" t="s">
        <v>16</v>
      </c>
      <c r="B6" s="15">
        <v>347755</v>
      </c>
      <c r="C6" s="15">
        <v>61285</v>
      </c>
      <c r="E6" s="14" t="s">
        <v>17</v>
      </c>
      <c r="F6" s="15">
        <v>1165667.5</v>
      </c>
      <c r="G6" s="15">
        <v>211387.5</v>
      </c>
    </row>
    <row r="7" spans="1:7" x14ac:dyDescent="0.35">
      <c r="A7" s="14" t="s">
        <v>18</v>
      </c>
      <c r="B7" s="15">
        <v>564087.5</v>
      </c>
      <c r="C7" s="15">
        <v>96947.5</v>
      </c>
      <c r="E7" s="14" t="s">
        <v>19</v>
      </c>
      <c r="F7" s="15">
        <v>1008320</v>
      </c>
      <c r="G7" s="15">
        <v>171440</v>
      </c>
    </row>
    <row r="8" spans="1:7" x14ac:dyDescent="0.35">
      <c r="A8" s="14" t="s">
        <v>20</v>
      </c>
      <c r="B8" s="15">
        <v>271490</v>
      </c>
      <c r="C8" s="15">
        <v>43080</v>
      </c>
    </row>
    <row r="9" spans="1:7" x14ac:dyDescent="0.35">
      <c r="A9" s="14" t="s">
        <v>21</v>
      </c>
      <c r="B9" s="15">
        <v>614930</v>
      </c>
      <c r="C9" s="15">
        <v>104740</v>
      </c>
    </row>
    <row r="10" spans="1:7" x14ac:dyDescent="0.35">
      <c r="A10" s="14" t="s">
        <v>22</v>
      </c>
      <c r="B10" s="15">
        <v>801885</v>
      </c>
      <c r="C10" s="15">
        <v>108645</v>
      </c>
    </row>
    <row r="11" spans="1:7" x14ac:dyDescent="0.35">
      <c r="A11" s="14" t="s">
        <v>24</v>
      </c>
      <c r="B11" s="15">
        <v>855570</v>
      </c>
      <c r="C11" s="15">
        <v>129010</v>
      </c>
    </row>
    <row r="12" spans="1:7" x14ac:dyDescent="0.35">
      <c r="A12" s="14" t="s">
        <v>26</v>
      </c>
      <c r="B12" s="15">
        <v>667565</v>
      </c>
      <c r="C12" s="15">
        <v>110705</v>
      </c>
    </row>
    <row r="13" spans="1:7" x14ac:dyDescent="0.35">
      <c r="A13" s="14" t="s">
        <v>28</v>
      </c>
      <c r="B13" s="15">
        <v>380167.5</v>
      </c>
      <c r="C13" s="15">
        <v>48887.5</v>
      </c>
    </row>
    <row r="14" spans="1:7" x14ac:dyDescent="0.35">
      <c r="A14" s="14" t="s">
        <v>30</v>
      </c>
      <c r="B14" s="15">
        <v>239625</v>
      </c>
      <c r="C14" s="15">
        <v>48705</v>
      </c>
    </row>
    <row r="16" spans="1:7" ht="15.5" x14ac:dyDescent="0.35">
      <c r="A16" s="10" t="s">
        <v>23</v>
      </c>
    </row>
    <row r="17" spans="1:3" x14ac:dyDescent="0.35">
      <c r="A17" s="1" t="s">
        <v>25</v>
      </c>
      <c r="B17" s="1" t="s">
        <v>7</v>
      </c>
      <c r="C17" s="1" t="s">
        <v>8</v>
      </c>
    </row>
    <row r="18" spans="1:3" x14ac:dyDescent="0.35">
      <c r="A18" s="14" t="s">
        <v>27</v>
      </c>
      <c r="B18" s="14">
        <v>5284525</v>
      </c>
      <c r="C18" s="14">
        <v>696525</v>
      </c>
    </row>
    <row r="19" spans="1:3" x14ac:dyDescent="0.35">
      <c r="A19" s="14" t="s">
        <v>29</v>
      </c>
      <c r="B19" s="14">
        <v>741230</v>
      </c>
      <c r="C19" s="14">
        <v>138630</v>
      </c>
    </row>
    <row r="20" spans="1:3" x14ac:dyDescent="0.35">
      <c r="A20" s="14" t="s">
        <v>31</v>
      </c>
      <c r="B20" s="14">
        <v>619240</v>
      </c>
      <c r="C20" s="14">
        <v>128440</v>
      </c>
    </row>
    <row r="21" spans="1:3" x14ac:dyDescent="0.35">
      <c r="A21" s="14" t="s">
        <v>32</v>
      </c>
      <c r="B21" s="14">
        <v>304070</v>
      </c>
      <c r="C21" s="14">
        <v>99280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D0A9C-61B1-44F3-B87E-544D304D4A3B}">
  <dimension ref="A1:C24"/>
  <sheetViews>
    <sheetView zoomScale="70" zoomScaleNormal="70" workbookViewId="0">
      <selection activeCell="A17" sqref="A17:C17"/>
      <pivotSelection pane="bottomRight" showHeader="1" extendable="1" axis="axisRow" start="4" max="5" activeRow="16" previousRow="16" click="1" r:id="rId3">
        <pivotArea dataOnly="0" grandRow="1" fieldPosition="0"/>
      </pivotSelection>
    </sheetView>
  </sheetViews>
  <sheetFormatPr defaultRowHeight="14.5" x14ac:dyDescent="0.35"/>
  <cols>
    <col min="1" max="1" width="31" bestFit="1" customWidth="1"/>
    <col min="2" max="3" width="12.453125" bestFit="1" customWidth="1"/>
  </cols>
  <sheetData>
    <row r="1" spans="1:3" ht="18.5" x14ac:dyDescent="0.45">
      <c r="A1" s="9" t="s">
        <v>488</v>
      </c>
    </row>
    <row r="3" spans="1:3" x14ac:dyDescent="0.35">
      <c r="A3" s="7" t="s">
        <v>484</v>
      </c>
      <c r="B3" t="s">
        <v>486</v>
      </c>
      <c r="C3" t="s">
        <v>487</v>
      </c>
    </row>
    <row r="4" spans="1:3" x14ac:dyDescent="0.35">
      <c r="A4" s="6" t="s">
        <v>17</v>
      </c>
      <c r="B4" s="4">
        <v>1165667.5</v>
      </c>
      <c r="C4" s="4">
        <v>211387.5</v>
      </c>
    </row>
    <row r="5" spans="1:3" x14ac:dyDescent="0.35">
      <c r="A5" s="6" t="s">
        <v>13</v>
      </c>
      <c r="B5" s="4">
        <v>1597210</v>
      </c>
      <c r="C5" s="4">
        <v>239230</v>
      </c>
    </row>
    <row r="6" spans="1:3" x14ac:dyDescent="0.35">
      <c r="A6" s="6" t="s">
        <v>15</v>
      </c>
      <c r="B6" s="4">
        <v>1278862.5</v>
      </c>
      <c r="C6" s="4">
        <v>161792.5</v>
      </c>
    </row>
    <row r="7" spans="1:3" x14ac:dyDescent="0.35">
      <c r="A7" s="6" t="s">
        <v>11</v>
      </c>
      <c r="B7" s="4">
        <v>1899005</v>
      </c>
      <c r="C7" s="4">
        <v>279025</v>
      </c>
    </row>
    <row r="8" spans="1:3" x14ac:dyDescent="0.35">
      <c r="A8" s="6" t="s">
        <v>19</v>
      </c>
      <c r="B8" s="4">
        <v>1008320</v>
      </c>
      <c r="C8" s="4">
        <v>171440</v>
      </c>
    </row>
    <row r="9" spans="1:3" x14ac:dyDescent="0.35">
      <c r="A9" s="6" t="s">
        <v>485</v>
      </c>
      <c r="B9" s="4">
        <v>6949065</v>
      </c>
      <c r="C9" s="4">
        <v>1062875</v>
      </c>
    </row>
    <row r="10" spans="1:3" x14ac:dyDescent="0.35">
      <c r="A10" s="6"/>
      <c r="B10" s="4"/>
      <c r="C10" s="4"/>
    </row>
    <row r="11" spans="1:3" ht="18.5" x14ac:dyDescent="0.45">
      <c r="A11" s="9" t="s">
        <v>491</v>
      </c>
    </row>
    <row r="12" spans="1:3" x14ac:dyDescent="0.35">
      <c r="A12" s="7" t="s">
        <v>484</v>
      </c>
      <c r="B12" t="s">
        <v>486</v>
      </c>
      <c r="C12" t="s">
        <v>487</v>
      </c>
    </row>
    <row r="13" spans="1:3" x14ac:dyDescent="0.35">
      <c r="A13" s="6" t="s">
        <v>32</v>
      </c>
      <c r="B13" s="4">
        <v>304070</v>
      </c>
      <c r="C13" s="4">
        <v>99280</v>
      </c>
    </row>
    <row r="14" spans="1:3" x14ac:dyDescent="0.35">
      <c r="A14" s="6" t="s">
        <v>27</v>
      </c>
      <c r="B14" s="4">
        <v>5284525</v>
      </c>
      <c r="C14" s="4">
        <v>696525</v>
      </c>
    </row>
    <row r="15" spans="1:3" x14ac:dyDescent="0.35">
      <c r="A15" s="6" t="s">
        <v>29</v>
      </c>
      <c r="B15" s="4">
        <v>741230</v>
      </c>
      <c r="C15" s="4">
        <v>138630</v>
      </c>
    </row>
    <row r="16" spans="1:3" x14ac:dyDescent="0.35">
      <c r="A16" s="6" t="s">
        <v>31</v>
      </c>
      <c r="B16" s="4">
        <v>619240</v>
      </c>
      <c r="C16" s="4">
        <v>128440</v>
      </c>
    </row>
    <row r="17" spans="1:3" x14ac:dyDescent="0.35">
      <c r="A17" s="6" t="s">
        <v>485</v>
      </c>
      <c r="B17" s="4">
        <v>6949065</v>
      </c>
      <c r="C17" s="4">
        <v>1062875</v>
      </c>
    </row>
    <row r="19" spans="1:3" ht="18.5" x14ac:dyDescent="0.45">
      <c r="A19" s="9" t="s">
        <v>492</v>
      </c>
    </row>
    <row r="20" spans="1:3" x14ac:dyDescent="0.35">
      <c r="A20" s="7" t="s">
        <v>484</v>
      </c>
      <c r="B20" t="s">
        <v>486</v>
      </c>
      <c r="C20" t="s">
        <v>487</v>
      </c>
    </row>
    <row r="21" spans="1:3" x14ac:dyDescent="0.35">
      <c r="A21" s="6" t="s">
        <v>59</v>
      </c>
      <c r="B21" s="4">
        <v>3132652.5</v>
      </c>
      <c r="C21" s="4">
        <v>471092.5</v>
      </c>
    </row>
    <row r="22" spans="1:3" x14ac:dyDescent="0.35">
      <c r="A22" s="6" t="s">
        <v>50</v>
      </c>
      <c r="B22" s="4">
        <v>1947637.5</v>
      </c>
      <c r="C22" s="4">
        <v>270377.5</v>
      </c>
    </row>
    <row r="23" spans="1:3" x14ac:dyDescent="0.35">
      <c r="A23" s="6" t="s">
        <v>43</v>
      </c>
      <c r="B23" s="4">
        <v>1868775</v>
      </c>
      <c r="C23" s="4">
        <v>321405</v>
      </c>
    </row>
    <row r="24" spans="1:3" x14ac:dyDescent="0.35">
      <c r="A24" s="6" t="s">
        <v>485</v>
      </c>
      <c r="B24" s="4">
        <v>6949065</v>
      </c>
      <c r="C24" s="4">
        <v>1062875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41"/>
  <sheetViews>
    <sheetView workbookViewId="0">
      <pane ySplit="1" topLeftCell="A2" activePane="bottomLeft" state="frozen"/>
      <selection pane="bottomLeft"/>
    </sheetView>
  </sheetViews>
  <sheetFormatPr defaultRowHeight="14.5" x14ac:dyDescent="0.35"/>
  <cols>
    <col min="1" max="8" width="12" customWidth="1"/>
    <col min="9" max="9" width="14" customWidth="1"/>
    <col min="10" max="12" width="12" customWidth="1"/>
  </cols>
  <sheetData>
    <row r="1" spans="1:12" x14ac:dyDescent="0.35">
      <c r="A1" s="2" t="s">
        <v>33</v>
      </c>
      <c r="B1" s="2" t="s">
        <v>34</v>
      </c>
      <c r="C1" s="2" t="s">
        <v>9</v>
      </c>
      <c r="D1" s="2" t="s">
        <v>35</v>
      </c>
      <c r="E1" s="2" t="s">
        <v>36</v>
      </c>
      <c r="F1" s="2" t="s">
        <v>25</v>
      </c>
      <c r="G1" s="2" t="s">
        <v>37</v>
      </c>
      <c r="H1" s="2" t="s">
        <v>38</v>
      </c>
      <c r="I1" s="2" t="s">
        <v>39</v>
      </c>
      <c r="J1" s="2" t="s">
        <v>7</v>
      </c>
      <c r="K1" s="2" t="s">
        <v>40</v>
      </c>
      <c r="L1" s="2" t="s">
        <v>8</v>
      </c>
    </row>
    <row r="2" spans="1:12" x14ac:dyDescent="0.35">
      <c r="A2" t="s">
        <v>41</v>
      </c>
      <c r="B2" s="3" t="s">
        <v>42</v>
      </c>
      <c r="C2" t="s">
        <v>17</v>
      </c>
      <c r="D2" t="s">
        <v>43</v>
      </c>
      <c r="E2" t="s">
        <v>44</v>
      </c>
      <c r="F2" t="s">
        <v>29</v>
      </c>
      <c r="G2">
        <v>5</v>
      </c>
      <c r="H2" s="4">
        <v>14500</v>
      </c>
      <c r="I2" s="5">
        <v>0.1</v>
      </c>
      <c r="J2" s="4">
        <v>65250</v>
      </c>
      <c r="K2" s="4">
        <v>56000</v>
      </c>
      <c r="L2" s="4">
        <v>9250</v>
      </c>
    </row>
    <row r="3" spans="1:12" x14ac:dyDescent="0.35">
      <c r="A3" t="s">
        <v>45</v>
      </c>
      <c r="B3" s="3" t="s">
        <v>46</v>
      </c>
      <c r="C3" t="s">
        <v>15</v>
      </c>
      <c r="D3" t="s">
        <v>43</v>
      </c>
      <c r="E3" t="s">
        <v>47</v>
      </c>
      <c r="F3" t="s">
        <v>32</v>
      </c>
      <c r="G3">
        <v>2</v>
      </c>
      <c r="H3" s="4">
        <v>1450</v>
      </c>
      <c r="I3" s="5">
        <v>0.1</v>
      </c>
      <c r="J3" s="4">
        <v>2610</v>
      </c>
      <c r="K3" s="4">
        <v>1800</v>
      </c>
      <c r="L3" s="4">
        <v>810</v>
      </c>
    </row>
    <row r="4" spans="1:12" x14ac:dyDescent="0.35">
      <c r="A4" t="s">
        <v>48</v>
      </c>
      <c r="B4" s="3" t="s">
        <v>49</v>
      </c>
      <c r="C4" t="s">
        <v>13</v>
      </c>
      <c r="D4" t="s">
        <v>50</v>
      </c>
      <c r="E4" t="s">
        <v>51</v>
      </c>
      <c r="F4" t="s">
        <v>31</v>
      </c>
      <c r="G4">
        <v>3</v>
      </c>
      <c r="H4" s="4">
        <v>4900</v>
      </c>
      <c r="I4" s="5">
        <v>0</v>
      </c>
      <c r="J4" s="4">
        <v>14700</v>
      </c>
      <c r="K4" s="4">
        <v>10800</v>
      </c>
      <c r="L4" s="4">
        <v>3900</v>
      </c>
    </row>
    <row r="5" spans="1:12" x14ac:dyDescent="0.35">
      <c r="A5" t="s">
        <v>52</v>
      </c>
      <c r="B5" s="3" t="s">
        <v>49</v>
      </c>
      <c r="C5" t="s">
        <v>19</v>
      </c>
      <c r="D5" t="s">
        <v>43</v>
      </c>
      <c r="E5" t="s">
        <v>53</v>
      </c>
      <c r="F5" t="s">
        <v>27</v>
      </c>
      <c r="G5">
        <v>4</v>
      </c>
      <c r="H5" s="4">
        <v>38500</v>
      </c>
      <c r="I5" s="5">
        <v>0</v>
      </c>
      <c r="J5" s="4">
        <v>154000</v>
      </c>
      <c r="K5" s="4">
        <v>124000</v>
      </c>
      <c r="L5" s="4">
        <v>30000</v>
      </c>
    </row>
    <row r="6" spans="1:12" x14ac:dyDescent="0.35">
      <c r="A6" t="s">
        <v>54</v>
      </c>
      <c r="B6" s="3" t="s">
        <v>55</v>
      </c>
      <c r="C6" t="s">
        <v>11</v>
      </c>
      <c r="D6" t="s">
        <v>43</v>
      </c>
      <c r="E6" t="s">
        <v>56</v>
      </c>
      <c r="F6" t="s">
        <v>32</v>
      </c>
      <c r="G6">
        <v>5</v>
      </c>
      <c r="H6" s="4">
        <v>950</v>
      </c>
      <c r="I6" s="5">
        <v>0.15</v>
      </c>
      <c r="J6" s="4">
        <v>4037.5</v>
      </c>
      <c r="K6" s="4">
        <v>2700</v>
      </c>
      <c r="L6" s="4">
        <v>1337.5</v>
      </c>
    </row>
    <row r="7" spans="1:12" x14ac:dyDescent="0.35">
      <c r="A7" t="s">
        <v>57</v>
      </c>
      <c r="B7" s="3" t="s">
        <v>58</v>
      </c>
      <c r="C7" t="s">
        <v>19</v>
      </c>
      <c r="D7" t="s">
        <v>59</v>
      </c>
      <c r="E7" t="s">
        <v>60</v>
      </c>
      <c r="F7" t="s">
        <v>27</v>
      </c>
      <c r="G7">
        <v>1</v>
      </c>
      <c r="H7" s="4">
        <v>58000</v>
      </c>
      <c r="I7" s="5">
        <v>0</v>
      </c>
      <c r="J7" s="4">
        <v>58000</v>
      </c>
      <c r="K7" s="4">
        <v>46500</v>
      </c>
      <c r="L7" s="4">
        <v>11500</v>
      </c>
    </row>
    <row r="8" spans="1:12" x14ac:dyDescent="0.35">
      <c r="A8" t="s">
        <v>61</v>
      </c>
      <c r="B8" s="3" t="s">
        <v>58</v>
      </c>
      <c r="C8" t="s">
        <v>13</v>
      </c>
      <c r="D8" t="s">
        <v>43</v>
      </c>
      <c r="E8" t="s">
        <v>56</v>
      </c>
      <c r="F8" t="s">
        <v>32</v>
      </c>
      <c r="G8">
        <v>1</v>
      </c>
      <c r="H8" s="4">
        <v>950</v>
      </c>
      <c r="I8" s="5">
        <v>0.05</v>
      </c>
      <c r="J8" s="4">
        <v>902.5</v>
      </c>
      <c r="K8" s="4">
        <v>540</v>
      </c>
      <c r="L8" s="4">
        <v>362.5</v>
      </c>
    </row>
    <row r="9" spans="1:12" x14ac:dyDescent="0.35">
      <c r="A9" t="s">
        <v>62</v>
      </c>
      <c r="B9" s="3" t="s">
        <v>58</v>
      </c>
      <c r="C9" t="s">
        <v>15</v>
      </c>
      <c r="D9" t="s">
        <v>59</v>
      </c>
      <c r="E9" t="s">
        <v>51</v>
      </c>
      <c r="F9" t="s">
        <v>31</v>
      </c>
      <c r="G9">
        <v>3</v>
      </c>
      <c r="H9" s="4">
        <v>4900</v>
      </c>
      <c r="I9" s="5">
        <v>0.1</v>
      </c>
      <c r="J9" s="4">
        <v>13230</v>
      </c>
      <c r="K9" s="4">
        <v>10800</v>
      </c>
      <c r="L9" s="4">
        <v>2430</v>
      </c>
    </row>
    <row r="10" spans="1:12" x14ac:dyDescent="0.35">
      <c r="A10" t="s">
        <v>63</v>
      </c>
      <c r="B10" s="3" t="s">
        <v>64</v>
      </c>
      <c r="C10" t="s">
        <v>15</v>
      </c>
      <c r="D10" t="s">
        <v>43</v>
      </c>
      <c r="E10" t="s">
        <v>53</v>
      </c>
      <c r="F10" t="s">
        <v>27</v>
      </c>
      <c r="G10">
        <v>1</v>
      </c>
      <c r="H10" s="4">
        <v>38500</v>
      </c>
      <c r="I10" s="5">
        <v>0.1</v>
      </c>
      <c r="J10" s="4">
        <v>34650</v>
      </c>
      <c r="K10" s="4">
        <v>31000</v>
      </c>
      <c r="L10" s="4">
        <v>3650</v>
      </c>
    </row>
    <row r="11" spans="1:12" x14ac:dyDescent="0.35">
      <c r="A11" t="s">
        <v>65</v>
      </c>
      <c r="B11" s="3" t="s">
        <v>64</v>
      </c>
      <c r="C11" t="s">
        <v>11</v>
      </c>
      <c r="D11" t="s">
        <v>50</v>
      </c>
      <c r="E11" t="s">
        <v>66</v>
      </c>
      <c r="F11" t="s">
        <v>32</v>
      </c>
      <c r="G11">
        <v>2</v>
      </c>
      <c r="H11" s="4">
        <v>650</v>
      </c>
      <c r="I11" s="5">
        <v>0.15</v>
      </c>
      <c r="J11" s="4">
        <v>1105</v>
      </c>
      <c r="K11" s="4">
        <v>780</v>
      </c>
      <c r="L11" s="4">
        <v>325</v>
      </c>
    </row>
    <row r="12" spans="1:12" x14ac:dyDescent="0.35">
      <c r="A12" t="s">
        <v>67</v>
      </c>
      <c r="B12" s="3" t="s">
        <v>68</v>
      </c>
      <c r="C12" t="s">
        <v>15</v>
      </c>
      <c r="D12" t="s">
        <v>43</v>
      </c>
      <c r="E12" t="s">
        <v>53</v>
      </c>
      <c r="F12" t="s">
        <v>27</v>
      </c>
      <c r="G12">
        <v>2</v>
      </c>
      <c r="H12" s="4">
        <v>38500</v>
      </c>
      <c r="I12" s="5">
        <v>0</v>
      </c>
      <c r="J12" s="4">
        <v>77000</v>
      </c>
      <c r="K12" s="4">
        <v>62000</v>
      </c>
      <c r="L12" s="4">
        <v>15000</v>
      </c>
    </row>
    <row r="13" spans="1:12" x14ac:dyDescent="0.35">
      <c r="A13" t="s">
        <v>69</v>
      </c>
      <c r="B13" s="3" t="s">
        <v>68</v>
      </c>
      <c r="C13" t="s">
        <v>13</v>
      </c>
      <c r="D13" t="s">
        <v>50</v>
      </c>
      <c r="E13" t="s">
        <v>70</v>
      </c>
      <c r="F13" t="s">
        <v>32</v>
      </c>
      <c r="G13">
        <v>1</v>
      </c>
      <c r="H13" s="4">
        <v>1800</v>
      </c>
      <c r="I13" s="5">
        <v>0</v>
      </c>
      <c r="J13" s="4">
        <v>1800</v>
      </c>
      <c r="K13" s="4">
        <v>1150</v>
      </c>
      <c r="L13" s="4">
        <v>650</v>
      </c>
    </row>
    <row r="14" spans="1:12" x14ac:dyDescent="0.35">
      <c r="A14" t="s">
        <v>71</v>
      </c>
      <c r="B14" s="3" t="s">
        <v>72</v>
      </c>
      <c r="C14" t="s">
        <v>19</v>
      </c>
      <c r="D14" t="s">
        <v>59</v>
      </c>
      <c r="E14" t="s">
        <v>73</v>
      </c>
      <c r="F14" t="s">
        <v>32</v>
      </c>
      <c r="G14">
        <v>2</v>
      </c>
      <c r="H14" s="4">
        <v>1600</v>
      </c>
      <c r="I14" s="5">
        <v>0.15</v>
      </c>
      <c r="J14" s="4">
        <v>2720</v>
      </c>
      <c r="K14" s="4">
        <v>1960</v>
      </c>
      <c r="L14" s="4">
        <v>760</v>
      </c>
    </row>
    <row r="15" spans="1:12" x14ac:dyDescent="0.35">
      <c r="A15" t="s">
        <v>74</v>
      </c>
      <c r="B15" s="3" t="s">
        <v>75</v>
      </c>
      <c r="C15" t="s">
        <v>17</v>
      </c>
      <c r="D15" t="s">
        <v>50</v>
      </c>
      <c r="E15" t="s">
        <v>56</v>
      </c>
      <c r="F15" t="s">
        <v>32</v>
      </c>
      <c r="G15">
        <v>3</v>
      </c>
      <c r="H15" s="4">
        <v>950</v>
      </c>
      <c r="I15" s="5">
        <v>0</v>
      </c>
      <c r="J15" s="4">
        <v>2850</v>
      </c>
      <c r="K15" s="4">
        <v>1620</v>
      </c>
      <c r="L15" s="4">
        <v>1230</v>
      </c>
    </row>
    <row r="16" spans="1:12" x14ac:dyDescent="0.35">
      <c r="A16" t="s">
        <v>76</v>
      </c>
      <c r="B16" s="3" t="s">
        <v>75</v>
      </c>
      <c r="C16" t="s">
        <v>11</v>
      </c>
      <c r="D16" t="s">
        <v>59</v>
      </c>
      <c r="E16" t="s">
        <v>66</v>
      </c>
      <c r="F16" t="s">
        <v>32</v>
      </c>
      <c r="G16">
        <v>5</v>
      </c>
      <c r="H16" s="4">
        <v>650</v>
      </c>
      <c r="I16" s="5">
        <v>0.15</v>
      </c>
      <c r="J16" s="4">
        <v>2762.5</v>
      </c>
      <c r="K16" s="4">
        <v>1950</v>
      </c>
      <c r="L16" s="4">
        <v>812.5</v>
      </c>
    </row>
    <row r="17" spans="1:12" x14ac:dyDescent="0.35">
      <c r="A17" t="s">
        <v>77</v>
      </c>
      <c r="B17" s="3" t="s">
        <v>78</v>
      </c>
      <c r="C17" t="s">
        <v>13</v>
      </c>
      <c r="D17" t="s">
        <v>43</v>
      </c>
      <c r="E17" t="s">
        <v>79</v>
      </c>
      <c r="F17" t="s">
        <v>32</v>
      </c>
      <c r="G17">
        <v>3</v>
      </c>
      <c r="H17" s="4">
        <v>2100</v>
      </c>
      <c r="I17" s="5">
        <v>0.05</v>
      </c>
      <c r="J17" s="4">
        <v>5985</v>
      </c>
      <c r="K17" s="4">
        <v>4350</v>
      </c>
      <c r="L17" s="4">
        <v>1635</v>
      </c>
    </row>
    <row r="18" spans="1:12" x14ac:dyDescent="0.35">
      <c r="A18" t="s">
        <v>80</v>
      </c>
      <c r="B18" s="3" t="s">
        <v>81</v>
      </c>
      <c r="C18" t="s">
        <v>19</v>
      </c>
      <c r="D18" t="s">
        <v>43</v>
      </c>
      <c r="E18" t="s">
        <v>51</v>
      </c>
      <c r="F18" t="s">
        <v>31</v>
      </c>
      <c r="G18">
        <v>2</v>
      </c>
      <c r="H18" s="4">
        <v>4900</v>
      </c>
      <c r="I18" s="5">
        <v>0.05</v>
      </c>
      <c r="J18" s="4">
        <v>9310</v>
      </c>
      <c r="K18" s="4">
        <v>7200</v>
      </c>
      <c r="L18" s="4">
        <v>2110</v>
      </c>
    </row>
    <row r="19" spans="1:12" x14ac:dyDescent="0.35">
      <c r="A19" t="s">
        <v>82</v>
      </c>
      <c r="B19" s="3" t="s">
        <v>81</v>
      </c>
      <c r="C19" t="s">
        <v>13</v>
      </c>
      <c r="D19" t="s">
        <v>59</v>
      </c>
      <c r="E19" t="s">
        <v>47</v>
      </c>
      <c r="F19" t="s">
        <v>32</v>
      </c>
      <c r="G19">
        <v>2</v>
      </c>
      <c r="H19" s="4">
        <v>1450</v>
      </c>
      <c r="I19" s="5">
        <v>0.1</v>
      </c>
      <c r="J19" s="4">
        <v>2610</v>
      </c>
      <c r="K19" s="4">
        <v>1800</v>
      </c>
      <c r="L19" s="4">
        <v>810</v>
      </c>
    </row>
    <row r="20" spans="1:12" x14ac:dyDescent="0.35">
      <c r="A20" t="s">
        <v>83</v>
      </c>
      <c r="B20" s="3" t="s">
        <v>84</v>
      </c>
      <c r="C20" t="s">
        <v>11</v>
      </c>
      <c r="D20" t="s">
        <v>43</v>
      </c>
      <c r="E20" t="s">
        <v>47</v>
      </c>
      <c r="F20" t="s">
        <v>32</v>
      </c>
      <c r="G20">
        <v>4</v>
      </c>
      <c r="H20" s="4">
        <v>1450</v>
      </c>
      <c r="I20" s="5">
        <v>0.15</v>
      </c>
      <c r="J20" s="4">
        <v>4930</v>
      </c>
      <c r="K20" s="4">
        <v>3600</v>
      </c>
      <c r="L20" s="4">
        <v>1330</v>
      </c>
    </row>
    <row r="21" spans="1:12" x14ac:dyDescent="0.35">
      <c r="A21" t="s">
        <v>85</v>
      </c>
      <c r="B21" s="3" t="s">
        <v>84</v>
      </c>
      <c r="C21" t="s">
        <v>19</v>
      </c>
      <c r="D21" t="s">
        <v>43</v>
      </c>
      <c r="E21" t="s">
        <v>51</v>
      </c>
      <c r="F21" t="s">
        <v>31</v>
      </c>
      <c r="G21">
        <v>1</v>
      </c>
      <c r="H21" s="4">
        <v>4900</v>
      </c>
      <c r="I21" s="5">
        <v>0.15</v>
      </c>
      <c r="J21" s="4">
        <v>4165</v>
      </c>
      <c r="K21" s="4">
        <v>3600</v>
      </c>
      <c r="L21" s="4">
        <v>565</v>
      </c>
    </row>
    <row r="22" spans="1:12" x14ac:dyDescent="0.35">
      <c r="A22" t="s">
        <v>86</v>
      </c>
      <c r="B22" s="3" t="s">
        <v>87</v>
      </c>
      <c r="C22" t="s">
        <v>11</v>
      </c>
      <c r="D22" t="s">
        <v>59</v>
      </c>
      <c r="E22" t="s">
        <v>56</v>
      </c>
      <c r="F22" t="s">
        <v>32</v>
      </c>
      <c r="G22">
        <v>2</v>
      </c>
      <c r="H22" s="4">
        <v>950</v>
      </c>
      <c r="I22" s="5">
        <v>0.05</v>
      </c>
      <c r="J22" s="4">
        <v>1805</v>
      </c>
      <c r="K22" s="4">
        <v>1080</v>
      </c>
      <c r="L22" s="4">
        <v>725</v>
      </c>
    </row>
    <row r="23" spans="1:12" x14ac:dyDescent="0.35">
      <c r="A23" t="s">
        <v>88</v>
      </c>
      <c r="B23" s="3" t="s">
        <v>89</v>
      </c>
      <c r="C23" t="s">
        <v>13</v>
      </c>
      <c r="D23" t="s">
        <v>50</v>
      </c>
      <c r="E23" t="s">
        <v>70</v>
      </c>
      <c r="F23" t="s">
        <v>32</v>
      </c>
      <c r="G23">
        <v>4</v>
      </c>
      <c r="H23" s="4">
        <v>1800</v>
      </c>
      <c r="I23" s="5">
        <v>0.15</v>
      </c>
      <c r="J23" s="4">
        <v>6120</v>
      </c>
      <c r="K23" s="4">
        <v>4600</v>
      </c>
      <c r="L23" s="4">
        <v>1520</v>
      </c>
    </row>
    <row r="24" spans="1:12" x14ac:dyDescent="0.35">
      <c r="A24" t="s">
        <v>90</v>
      </c>
      <c r="B24" s="3" t="s">
        <v>91</v>
      </c>
      <c r="C24" t="s">
        <v>13</v>
      </c>
      <c r="D24" t="s">
        <v>59</v>
      </c>
      <c r="E24" t="s">
        <v>79</v>
      </c>
      <c r="F24" t="s">
        <v>32</v>
      </c>
      <c r="G24">
        <v>2</v>
      </c>
      <c r="H24" s="4">
        <v>2100</v>
      </c>
      <c r="I24" s="5">
        <v>0</v>
      </c>
      <c r="J24" s="4">
        <v>4200</v>
      </c>
      <c r="K24" s="4">
        <v>2900</v>
      </c>
      <c r="L24" s="4">
        <v>1300</v>
      </c>
    </row>
    <row r="25" spans="1:12" x14ac:dyDescent="0.35">
      <c r="A25" t="s">
        <v>92</v>
      </c>
      <c r="B25" s="3" t="s">
        <v>93</v>
      </c>
      <c r="C25" t="s">
        <v>11</v>
      </c>
      <c r="D25" t="s">
        <v>50</v>
      </c>
      <c r="E25" t="s">
        <v>47</v>
      </c>
      <c r="F25" t="s">
        <v>32</v>
      </c>
      <c r="G25">
        <v>3</v>
      </c>
      <c r="H25" s="4">
        <v>1450</v>
      </c>
      <c r="I25" s="5">
        <v>0</v>
      </c>
      <c r="J25" s="4">
        <v>4350</v>
      </c>
      <c r="K25" s="4">
        <v>2700</v>
      </c>
      <c r="L25" s="4">
        <v>1650</v>
      </c>
    </row>
    <row r="26" spans="1:12" x14ac:dyDescent="0.35">
      <c r="A26" t="s">
        <v>94</v>
      </c>
      <c r="B26" s="3" t="s">
        <v>95</v>
      </c>
      <c r="C26" t="s">
        <v>15</v>
      </c>
      <c r="D26" t="s">
        <v>43</v>
      </c>
      <c r="E26" t="s">
        <v>44</v>
      </c>
      <c r="F26" t="s">
        <v>29</v>
      </c>
      <c r="G26">
        <v>1</v>
      </c>
      <c r="H26" s="4">
        <v>14500</v>
      </c>
      <c r="I26" s="5">
        <v>0</v>
      </c>
      <c r="J26" s="4">
        <v>14500</v>
      </c>
      <c r="K26" s="4">
        <v>11200</v>
      </c>
      <c r="L26" s="4">
        <v>3300</v>
      </c>
    </row>
    <row r="27" spans="1:12" x14ac:dyDescent="0.35">
      <c r="A27" t="s">
        <v>96</v>
      </c>
      <c r="B27" s="3" t="s">
        <v>97</v>
      </c>
      <c r="C27" t="s">
        <v>17</v>
      </c>
      <c r="D27" t="s">
        <v>43</v>
      </c>
      <c r="E27" t="s">
        <v>73</v>
      </c>
      <c r="F27" t="s">
        <v>32</v>
      </c>
      <c r="G27">
        <v>1</v>
      </c>
      <c r="H27" s="4">
        <v>1600</v>
      </c>
      <c r="I27" s="5">
        <v>0.05</v>
      </c>
      <c r="J27" s="4">
        <v>1520</v>
      </c>
      <c r="K27" s="4">
        <v>980</v>
      </c>
      <c r="L27" s="4">
        <v>540</v>
      </c>
    </row>
    <row r="28" spans="1:12" x14ac:dyDescent="0.35">
      <c r="A28" t="s">
        <v>98</v>
      </c>
      <c r="B28" s="3" t="s">
        <v>99</v>
      </c>
      <c r="C28" t="s">
        <v>13</v>
      </c>
      <c r="D28" t="s">
        <v>50</v>
      </c>
      <c r="E28" t="s">
        <v>60</v>
      </c>
      <c r="F28" t="s">
        <v>27</v>
      </c>
      <c r="G28">
        <v>2</v>
      </c>
      <c r="H28" s="4">
        <v>58000</v>
      </c>
      <c r="I28" s="5">
        <v>0.1</v>
      </c>
      <c r="J28" s="4">
        <v>104400</v>
      </c>
      <c r="K28" s="4">
        <v>93000</v>
      </c>
      <c r="L28" s="4">
        <v>11400</v>
      </c>
    </row>
    <row r="29" spans="1:12" x14ac:dyDescent="0.35">
      <c r="A29" t="s">
        <v>100</v>
      </c>
      <c r="B29" s="3" t="s">
        <v>101</v>
      </c>
      <c r="C29" t="s">
        <v>15</v>
      </c>
      <c r="D29" t="s">
        <v>50</v>
      </c>
      <c r="E29" t="s">
        <v>73</v>
      </c>
      <c r="F29" t="s">
        <v>32</v>
      </c>
      <c r="G29">
        <v>5</v>
      </c>
      <c r="H29" s="4">
        <v>1600</v>
      </c>
      <c r="I29" s="5">
        <v>0.1</v>
      </c>
      <c r="J29" s="4">
        <v>7200</v>
      </c>
      <c r="K29" s="4">
        <v>4900</v>
      </c>
      <c r="L29" s="4">
        <v>2300</v>
      </c>
    </row>
    <row r="30" spans="1:12" x14ac:dyDescent="0.35">
      <c r="A30" t="s">
        <v>102</v>
      </c>
      <c r="B30" s="3" t="s">
        <v>103</v>
      </c>
      <c r="C30" t="s">
        <v>19</v>
      </c>
      <c r="D30" t="s">
        <v>59</v>
      </c>
      <c r="E30" t="s">
        <v>60</v>
      </c>
      <c r="F30" t="s">
        <v>27</v>
      </c>
      <c r="G30">
        <v>1</v>
      </c>
      <c r="H30" s="4">
        <v>58000</v>
      </c>
      <c r="I30" s="5">
        <v>0.15</v>
      </c>
      <c r="J30" s="4">
        <v>49300</v>
      </c>
      <c r="K30" s="4">
        <v>46500</v>
      </c>
      <c r="L30" s="4">
        <v>2800</v>
      </c>
    </row>
    <row r="31" spans="1:12" x14ac:dyDescent="0.35">
      <c r="A31" t="s">
        <v>104</v>
      </c>
      <c r="B31" s="3" t="s">
        <v>105</v>
      </c>
      <c r="C31" t="s">
        <v>13</v>
      </c>
      <c r="D31" t="s">
        <v>59</v>
      </c>
      <c r="E31" t="s">
        <v>44</v>
      </c>
      <c r="F31" t="s">
        <v>29</v>
      </c>
      <c r="G31">
        <v>2</v>
      </c>
      <c r="H31" s="4">
        <v>14500</v>
      </c>
      <c r="I31" s="5">
        <v>0</v>
      </c>
      <c r="J31" s="4">
        <v>29000</v>
      </c>
      <c r="K31" s="4">
        <v>22400</v>
      </c>
      <c r="L31" s="4">
        <v>6600</v>
      </c>
    </row>
    <row r="32" spans="1:12" x14ac:dyDescent="0.35">
      <c r="A32" t="s">
        <v>106</v>
      </c>
      <c r="B32" s="3" t="s">
        <v>105</v>
      </c>
      <c r="C32" t="s">
        <v>11</v>
      </c>
      <c r="D32" t="s">
        <v>59</v>
      </c>
      <c r="E32" t="s">
        <v>60</v>
      </c>
      <c r="F32" t="s">
        <v>27</v>
      </c>
      <c r="G32">
        <v>4</v>
      </c>
      <c r="H32" s="4">
        <v>58000</v>
      </c>
      <c r="I32" s="5">
        <v>0.05</v>
      </c>
      <c r="J32" s="4">
        <v>220400</v>
      </c>
      <c r="K32" s="4">
        <v>186000</v>
      </c>
      <c r="L32" s="4">
        <v>34400</v>
      </c>
    </row>
    <row r="33" spans="1:12" x14ac:dyDescent="0.35">
      <c r="A33" t="s">
        <v>107</v>
      </c>
      <c r="B33" s="3" t="s">
        <v>108</v>
      </c>
      <c r="C33" t="s">
        <v>11</v>
      </c>
      <c r="D33" t="s">
        <v>59</v>
      </c>
      <c r="E33" t="s">
        <v>56</v>
      </c>
      <c r="F33" t="s">
        <v>32</v>
      </c>
      <c r="G33">
        <v>3</v>
      </c>
      <c r="H33" s="4">
        <v>950</v>
      </c>
      <c r="I33" s="5">
        <v>0.15</v>
      </c>
      <c r="J33" s="4">
        <v>2422.5</v>
      </c>
      <c r="K33" s="4">
        <v>1620</v>
      </c>
      <c r="L33" s="4">
        <v>802.5</v>
      </c>
    </row>
    <row r="34" spans="1:12" x14ac:dyDescent="0.35">
      <c r="A34" t="s">
        <v>109</v>
      </c>
      <c r="B34" s="3" t="s">
        <v>110</v>
      </c>
      <c r="C34" t="s">
        <v>13</v>
      </c>
      <c r="D34" t="s">
        <v>50</v>
      </c>
      <c r="E34" t="s">
        <v>111</v>
      </c>
      <c r="F34" t="s">
        <v>29</v>
      </c>
      <c r="G34">
        <v>1</v>
      </c>
      <c r="H34" s="4">
        <v>9800</v>
      </c>
      <c r="I34" s="5">
        <v>0</v>
      </c>
      <c r="J34" s="4">
        <v>9800</v>
      </c>
      <c r="K34" s="4">
        <v>7400</v>
      </c>
      <c r="L34" s="4">
        <v>2400</v>
      </c>
    </row>
    <row r="35" spans="1:12" x14ac:dyDescent="0.35">
      <c r="A35" t="s">
        <v>112</v>
      </c>
      <c r="B35" s="3" t="s">
        <v>113</v>
      </c>
      <c r="C35" t="s">
        <v>19</v>
      </c>
      <c r="D35" t="s">
        <v>59</v>
      </c>
      <c r="E35" t="s">
        <v>47</v>
      </c>
      <c r="F35" t="s">
        <v>32</v>
      </c>
      <c r="G35">
        <v>1</v>
      </c>
      <c r="H35" s="4">
        <v>1450</v>
      </c>
      <c r="I35" s="5">
        <v>0.1</v>
      </c>
      <c r="J35" s="4">
        <v>1305</v>
      </c>
      <c r="K35" s="4">
        <v>900</v>
      </c>
      <c r="L35" s="4">
        <v>405</v>
      </c>
    </row>
    <row r="36" spans="1:12" x14ac:dyDescent="0.35">
      <c r="A36" t="s">
        <v>114</v>
      </c>
      <c r="B36" s="3" t="s">
        <v>115</v>
      </c>
      <c r="C36" t="s">
        <v>13</v>
      </c>
      <c r="D36" t="s">
        <v>50</v>
      </c>
      <c r="E36" t="s">
        <v>60</v>
      </c>
      <c r="F36" t="s">
        <v>27</v>
      </c>
      <c r="G36">
        <v>2</v>
      </c>
      <c r="H36" s="4">
        <v>58000</v>
      </c>
      <c r="I36" s="5">
        <v>0.1</v>
      </c>
      <c r="J36" s="4">
        <v>104400</v>
      </c>
      <c r="K36" s="4">
        <v>93000</v>
      </c>
      <c r="L36" s="4">
        <v>11400</v>
      </c>
    </row>
    <row r="37" spans="1:12" x14ac:dyDescent="0.35">
      <c r="A37" t="s">
        <v>116</v>
      </c>
      <c r="B37" s="3" t="s">
        <v>117</v>
      </c>
      <c r="C37" t="s">
        <v>17</v>
      </c>
      <c r="D37" t="s">
        <v>50</v>
      </c>
      <c r="E37" t="s">
        <v>111</v>
      </c>
      <c r="F37" t="s">
        <v>29</v>
      </c>
      <c r="G37">
        <v>2</v>
      </c>
      <c r="H37" s="4">
        <v>9800</v>
      </c>
      <c r="I37" s="5">
        <v>0.05</v>
      </c>
      <c r="J37" s="4">
        <v>18620</v>
      </c>
      <c r="K37" s="4">
        <v>14800</v>
      </c>
      <c r="L37" s="4">
        <v>3820</v>
      </c>
    </row>
    <row r="38" spans="1:12" x14ac:dyDescent="0.35">
      <c r="A38" t="s">
        <v>118</v>
      </c>
      <c r="B38" s="3" t="s">
        <v>119</v>
      </c>
      <c r="C38" t="s">
        <v>17</v>
      </c>
      <c r="D38" t="s">
        <v>59</v>
      </c>
      <c r="E38" t="s">
        <v>120</v>
      </c>
      <c r="F38" t="s">
        <v>31</v>
      </c>
      <c r="G38">
        <v>2</v>
      </c>
      <c r="H38" s="4">
        <v>6200</v>
      </c>
      <c r="I38" s="5">
        <v>0.05</v>
      </c>
      <c r="J38" s="4">
        <v>11780</v>
      </c>
      <c r="K38" s="4">
        <v>9400</v>
      </c>
      <c r="L38" s="4">
        <v>2380</v>
      </c>
    </row>
    <row r="39" spans="1:12" x14ac:dyDescent="0.35">
      <c r="A39" t="s">
        <v>121</v>
      </c>
      <c r="B39" s="3" t="s">
        <v>122</v>
      </c>
      <c r="C39" t="s">
        <v>19</v>
      </c>
      <c r="D39" t="s">
        <v>59</v>
      </c>
      <c r="E39" t="s">
        <v>73</v>
      </c>
      <c r="F39" t="s">
        <v>32</v>
      </c>
      <c r="G39">
        <v>2</v>
      </c>
      <c r="H39" s="4">
        <v>1600</v>
      </c>
      <c r="I39" s="5">
        <v>0</v>
      </c>
      <c r="J39" s="4">
        <v>3200</v>
      </c>
      <c r="K39" s="4">
        <v>1960</v>
      </c>
      <c r="L39" s="4">
        <v>1240</v>
      </c>
    </row>
    <row r="40" spans="1:12" x14ac:dyDescent="0.35">
      <c r="A40" t="s">
        <v>123</v>
      </c>
      <c r="B40" s="3" t="s">
        <v>124</v>
      </c>
      <c r="C40" t="s">
        <v>15</v>
      </c>
      <c r="D40" t="s">
        <v>59</v>
      </c>
      <c r="E40" t="s">
        <v>120</v>
      </c>
      <c r="F40" t="s">
        <v>31</v>
      </c>
      <c r="G40">
        <v>3</v>
      </c>
      <c r="H40" s="4">
        <v>6200</v>
      </c>
      <c r="I40" s="5">
        <v>0</v>
      </c>
      <c r="J40" s="4">
        <v>18600</v>
      </c>
      <c r="K40" s="4">
        <v>14100</v>
      </c>
      <c r="L40" s="4">
        <v>4500</v>
      </c>
    </row>
    <row r="41" spans="1:12" x14ac:dyDescent="0.35">
      <c r="A41" t="s">
        <v>125</v>
      </c>
      <c r="B41" s="3" t="s">
        <v>124</v>
      </c>
      <c r="C41" t="s">
        <v>15</v>
      </c>
      <c r="D41" t="s">
        <v>59</v>
      </c>
      <c r="E41" t="s">
        <v>60</v>
      </c>
      <c r="F41" t="s">
        <v>27</v>
      </c>
      <c r="G41">
        <v>4</v>
      </c>
      <c r="H41" s="4">
        <v>58000</v>
      </c>
      <c r="I41" s="5">
        <v>0.1</v>
      </c>
      <c r="J41" s="4">
        <v>208800</v>
      </c>
      <c r="K41" s="4">
        <v>186000</v>
      </c>
      <c r="L41" s="4">
        <v>22800</v>
      </c>
    </row>
    <row r="42" spans="1:12" x14ac:dyDescent="0.35">
      <c r="A42" t="s">
        <v>126</v>
      </c>
      <c r="B42" s="3" t="s">
        <v>127</v>
      </c>
      <c r="C42" t="s">
        <v>11</v>
      </c>
      <c r="D42" t="s">
        <v>59</v>
      </c>
      <c r="E42" t="s">
        <v>79</v>
      </c>
      <c r="F42" t="s">
        <v>32</v>
      </c>
      <c r="G42">
        <v>2</v>
      </c>
      <c r="H42" s="4">
        <v>2100</v>
      </c>
      <c r="I42" s="5">
        <v>0.05</v>
      </c>
      <c r="J42" s="4">
        <v>3990</v>
      </c>
      <c r="K42" s="4">
        <v>2900</v>
      </c>
      <c r="L42" s="4">
        <v>1090</v>
      </c>
    </row>
    <row r="43" spans="1:12" x14ac:dyDescent="0.35">
      <c r="A43" t="s">
        <v>128</v>
      </c>
      <c r="B43" s="3" t="s">
        <v>127</v>
      </c>
      <c r="C43" t="s">
        <v>15</v>
      </c>
      <c r="D43" t="s">
        <v>43</v>
      </c>
      <c r="E43" t="s">
        <v>56</v>
      </c>
      <c r="F43" t="s">
        <v>32</v>
      </c>
      <c r="G43">
        <v>2</v>
      </c>
      <c r="H43" s="4">
        <v>950</v>
      </c>
      <c r="I43" s="5">
        <v>0.05</v>
      </c>
      <c r="J43" s="4">
        <v>1805</v>
      </c>
      <c r="K43" s="4">
        <v>1080</v>
      </c>
      <c r="L43" s="4">
        <v>725</v>
      </c>
    </row>
    <row r="44" spans="1:12" x14ac:dyDescent="0.35">
      <c r="A44" t="s">
        <v>129</v>
      </c>
      <c r="B44" s="3" t="s">
        <v>130</v>
      </c>
      <c r="C44" t="s">
        <v>13</v>
      </c>
      <c r="D44" t="s">
        <v>43</v>
      </c>
      <c r="E44" t="s">
        <v>56</v>
      </c>
      <c r="F44" t="s">
        <v>32</v>
      </c>
      <c r="G44">
        <v>1</v>
      </c>
      <c r="H44" s="4">
        <v>950</v>
      </c>
      <c r="I44" s="5">
        <v>0.15</v>
      </c>
      <c r="J44" s="4">
        <v>807.5</v>
      </c>
      <c r="K44" s="4">
        <v>540</v>
      </c>
      <c r="L44" s="4">
        <v>267.5</v>
      </c>
    </row>
    <row r="45" spans="1:12" x14ac:dyDescent="0.35">
      <c r="A45" t="s">
        <v>131</v>
      </c>
      <c r="B45" s="3" t="s">
        <v>132</v>
      </c>
      <c r="C45" t="s">
        <v>15</v>
      </c>
      <c r="D45" t="s">
        <v>59</v>
      </c>
      <c r="E45" t="s">
        <v>79</v>
      </c>
      <c r="F45" t="s">
        <v>32</v>
      </c>
      <c r="G45">
        <v>1</v>
      </c>
      <c r="H45" s="4">
        <v>2100</v>
      </c>
      <c r="I45" s="5">
        <v>0</v>
      </c>
      <c r="J45" s="4">
        <v>2100</v>
      </c>
      <c r="K45" s="4">
        <v>1450</v>
      </c>
      <c r="L45" s="4">
        <v>650</v>
      </c>
    </row>
    <row r="46" spans="1:12" x14ac:dyDescent="0.35">
      <c r="A46" t="s">
        <v>133</v>
      </c>
      <c r="B46" s="3" t="s">
        <v>134</v>
      </c>
      <c r="C46" t="s">
        <v>19</v>
      </c>
      <c r="D46" t="s">
        <v>43</v>
      </c>
      <c r="E46" t="s">
        <v>111</v>
      </c>
      <c r="F46" t="s">
        <v>29</v>
      </c>
      <c r="G46">
        <v>1</v>
      </c>
      <c r="H46" s="4">
        <v>9800</v>
      </c>
      <c r="I46" s="5">
        <v>0</v>
      </c>
      <c r="J46" s="4">
        <v>9800</v>
      </c>
      <c r="K46" s="4">
        <v>7400</v>
      </c>
      <c r="L46" s="4">
        <v>2400</v>
      </c>
    </row>
    <row r="47" spans="1:12" x14ac:dyDescent="0.35">
      <c r="A47" t="s">
        <v>135</v>
      </c>
      <c r="B47" s="3" t="s">
        <v>136</v>
      </c>
      <c r="C47" t="s">
        <v>15</v>
      </c>
      <c r="D47" t="s">
        <v>59</v>
      </c>
      <c r="E47" t="s">
        <v>60</v>
      </c>
      <c r="F47" t="s">
        <v>27</v>
      </c>
      <c r="G47">
        <v>5</v>
      </c>
      <c r="H47" s="4">
        <v>58000</v>
      </c>
      <c r="I47" s="5">
        <v>0.15</v>
      </c>
      <c r="J47" s="4">
        <v>246500</v>
      </c>
      <c r="K47" s="4">
        <v>232500</v>
      </c>
      <c r="L47" s="4">
        <v>14000</v>
      </c>
    </row>
    <row r="48" spans="1:12" x14ac:dyDescent="0.35">
      <c r="A48" t="s">
        <v>137</v>
      </c>
      <c r="B48" s="3" t="s">
        <v>136</v>
      </c>
      <c r="C48" t="s">
        <v>13</v>
      </c>
      <c r="D48" t="s">
        <v>50</v>
      </c>
      <c r="E48" t="s">
        <v>51</v>
      </c>
      <c r="F48" t="s">
        <v>31</v>
      </c>
      <c r="G48">
        <v>3</v>
      </c>
      <c r="H48" s="4">
        <v>4900</v>
      </c>
      <c r="I48" s="5">
        <v>0.05</v>
      </c>
      <c r="J48" s="4">
        <v>13965</v>
      </c>
      <c r="K48" s="4">
        <v>10800</v>
      </c>
      <c r="L48" s="4">
        <v>3165</v>
      </c>
    </row>
    <row r="49" spans="1:12" x14ac:dyDescent="0.35">
      <c r="A49" t="s">
        <v>138</v>
      </c>
      <c r="B49" s="3" t="s">
        <v>139</v>
      </c>
      <c r="C49" t="s">
        <v>19</v>
      </c>
      <c r="D49" t="s">
        <v>59</v>
      </c>
      <c r="E49" t="s">
        <v>73</v>
      </c>
      <c r="F49" t="s">
        <v>32</v>
      </c>
      <c r="G49">
        <v>2</v>
      </c>
      <c r="H49" s="4">
        <v>1600</v>
      </c>
      <c r="I49" s="5">
        <v>0.05</v>
      </c>
      <c r="J49" s="4">
        <v>3040</v>
      </c>
      <c r="K49" s="4">
        <v>1960</v>
      </c>
      <c r="L49" s="4">
        <v>1080</v>
      </c>
    </row>
    <row r="50" spans="1:12" x14ac:dyDescent="0.35">
      <c r="A50" t="s">
        <v>140</v>
      </c>
      <c r="B50" s="3" t="s">
        <v>139</v>
      </c>
      <c r="C50" t="s">
        <v>11</v>
      </c>
      <c r="D50" t="s">
        <v>59</v>
      </c>
      <c r="E50" t="s">
        <v>47</v>
      </c>
      <c r="F50" t="s">
        <v>32</v>
      </c>
      <c r="G50">
        <v>1</v>
      </c>
      <c r="H50" s="4">
        <v>1450</v>
      </c>
      <c r="I50" s="5">
        <v>0.15</v>
      </c>
      <c r="J50" s="4">
        <v>1232.5</v>
      </c>
      <c r="K50" s="4">
        <v>900</v>
      </c>
      <c r="L50" s="4">
        <v>332.5</v>
      </c>
    </row>
    <row r="51" spans="1:12" x14ac:dyDescent="0.35">
      <c r="A51" t="s">
        <v>141</v>
      </c>
      <c r="B51" s="3" t="s">
        <v>142</v>
      </c>
      <c r="C51" t="s">
        <v>15</v>
      </c>
      <c r="D51" t="s">
        <v>43</v>
      </c>
      <c r="E51" t="s">
        <v>51</v>
      </c>
      <c r="F51" t="s">
        <v>31</v>
      </c>
      <c r="G51">
        <v>1</v>
      </c>
      <c r="H51" s="4">
        <v>4900</v>
      </c>
      <c r="I51" s="5">
        <v>0.15</v>
      </c>
      <c r="J51" s="4">
        <v>4165</v>
      </c>
      <c r="K51" s="4">
        <v>3600</v>
      </c>
      <c r="L51" s="4">
        <v>565</v>
      </c>
    </row>
    <row r="52" spans="1:12" x14ac:dyDescent="0.35">
      <c r="A52" t="s">
        <v>143</v>
      </c>
      <c r="B52" s="3" t="s">
        <v>144</v>
      </c>
      <c r="C52" t="s">
        <v>17</v>
      </c>
      <c r="D52" t="s">
        <v>59</v>
      </c>
      <c r="E52" t="s">
        <v>53</v>
      </c>
      <c r="F52" t="s">
        <v>27</v>
      </c>
      <c r="G52">
        <v>2</v>
      </c>
      <c r="H52" s="4">
        <v>38500</v>
      </c>
      <c r="I52" s="5">
        <v>0.1</v>
      </c>
      <c r="J52" s="4">
        <v>69300</v>
      </c>
      <c r="K52" s="4">
        <v>62000</v>
      </c>
      <c r="L52" s="4">
        <v>7300</v>
      </c>
    </row>
    <row r="53" spans="1:12" x14ac:dyDescent="0.35">
      <c r="A53" t="s">
        <v>145</v>
      </c>
      <c r="B53" s="3" t="s">
        <v>146</v>
      </c>
      <c r="C53" t="s">
        <v>13</v>
      </c>
      <c r="D53" t="s">
        <v>50</v>
      </c>
      <c r="E53" t="s">
        <v>79</v>
      </c>
      <c r="F53" t="s">
        <v>32</v>
      </c>
      <c r="G53">
        <v>3</v>
      </c>
      <c r="H53" s="4">
        <v>2100</v>
      </c>
      <c r="I53" s="5">
        <v>0.05</v>
      </c>
      <c r="J53" s="4">
        <v>5985</v>
      </c>
      <c r="K53" s="4">
        <v>4350</v>
      </c>
      <c r="L53" s="4">
        <v>1635</v>
      </c>
    </row>
    <row r="54" spans="1:12" x14ac:dyDescent="0.35">
      <c r="A54" t="s">
        <v>147</v>
      </c>
      <c r="B54" s="3" t="s">
        <v>148</v>
      </c>
      <c r="C54" t="s">
        <v>15</v>
      </c>
      <c r="D54" t="s">
        <v>50</v>
      </c>
      <c r="E54" t="s">
        <v>60</v>
      </c>
      <c r="F54" t="s">
        <v>27</v>
      </c>
      <c r="G54">
        <v>3</v>
      </c>
      <c r="H54" s="4">
        <v>58000</v>
      </c>
      <c r="I54" s="5">
        <v>0.15</v>
      </c>
      <c r="J54" s="4">
        <v>147900</v>
      </c>
      <c r="K54" s="4">
        <v>139500</v>
      </c>
      <c r="L54" s="4">
        <v>8400</v>
      </c>
    </row>
    <row r="55" spans="1:12" x14ac:dyDescent="0.35">
      <c r="A55" t="s">
        <v>149</v>
      </c>
      <c r="B55" s="3" t="s">
        <v>150</v>
      </c>
      <c r="C55" t="s">
        <v>15</v>
      </c>
      <c r="D55" t="s">
        <v>59</v>
      </c>
      <c r="E55" t="s">
        <v>60</v>
      </c>
      <c r="F55" t="s">
        <v>27</v>
      </c>
      <c r="G55">
        <v>1</v>
      </c>
      <c r="H55" s="4">
        <v>58000</v>
      </c>
      <c r="I55" s="5">
        <v>0.15</v>
      </c>
      <c r="J55" s="4">
        <v>49300</v>
      </c>
      <c r="K55" s="4">
        <v>46500</v>
      </c>
      <c r="L55" s="4">
        <v>2800</v>
      </c>
    </row>
    <row r="56" spans="1:12" x14ac:dyDescent="0.35">
      <c r="A56" t="s">
        <v>151</v>
      </c>
      <c r="B56" s="3" t="s">
        <v>152</v>
      </c>
      <c r="C56" t="s">
        <v>17</v>
      </c>
      <c r="D56" t="s">
        <v>43</v>
      </c>
      <c r="E56" t="s">
        <v>56</v>
      </c>
      <c r="F56" t="s">
        <v>32</v>
      </c>
      <c r="G56">
        <v>2</v>
      </c>
      <c r="H56" s="4">
        <v>950</v>
      </c>
      <c r="I56" s="5">
        <v>0.05</v>
      </c>
      <c r="J56" s="4">
        <v>1805</v>
      </c>
      <c r="K56" s="4">
        <v>1080</v>
      </c>
      <c r="L56" s="4">
        <v>725</v>
      </c>
    </row>
    <row r="57" spans="1:12" x14ac:dyDescent="0.35">
      <c r="A57" t="s">
        <v>153</v>
      </c>
      <c r="B57" s="3" t="s">
        <v>154</v>
      </c>
      <c r="C57" t="s">
        <v>13</v>
      </c>
      <c r="D57" t="s">
        <v>59</v>
      </c>
      <c r="E57" t="s">
        <v>53</v>
      </c>
      <c r="F57" t="s">
        <v>27</v>
      </c>
      <c r="G57">
        <v>4</v>
      </c>
      <c r="H57" s="4">
        <v>38500</v>
      </c>
      <c r="I57" s="5">
        <v>0.1</v>
      </c>
      <c r="J57" s="4">
        <v>138600</v>
      </c>
      <c r="K57" s="4">
        <v>124000</v>
      </c>
      <c r="L57" s="4">
        <v>14600</v>
      </c>
    </row>
    <row r="58" spans="1:12" x14ac:dyDescent="0.35">
      <c r="A58" t="s">
        <v>155</v>
      </c>
      <c r="B58" s="3" t="s">
        <v>156</v>
      </c>
      <c r="C58" t="s">
        <v>17</v>
      </c>
      <c r="D58" t="s">
        <v>43</v>
      </c>
      <c r="E58" t="s">
        <v>120</v>
      </c>
      <c r="F58" t="s">
        <v>31</v>
      </c>
      <c r="G58">
        <v>1</v>
      </c>
      <c r="H58" s="4">
        <v>6200</v>
      </c>
      <c r="I58" s="5">
        <v>0.05</v>
      </c>
      <c r="J58" s="4">
        <v>5890</v>
      </c>
      <c r="K58" s="4">
        <v>4700</v>
      </c>
      <c r="L58" s="4">
        <v>1190</v>
      </c>
    </row>
    <row r="59" spans="1:12" x14ac:dyDescent="0.35">
      <c r="A59" t="s">
        <v>157</v>
      </c>
      <c r="B59" s="3" t="s">
        <v>158</v>
      </c>
      <c r="C59" t="s">
        <v>19</v>
      </c>
      <c r="D59" t="s">
        <v>59</v>
      </c>
      <c r="E59" t="s">
        <v>73</v>
      </c>
      <c r="F59" t="s">
        <v>32</v>
      </c>
      <c r="G59">
        <v>4</v>
      </c>
      <c r="H59" s="4">
        <v>1600</v>
      </c>
      <c r="I59" s="5">
        <v>0.05</v>
      </c>
      <c r="J59" s="4">
        <v>6080</v>
      </c>
      <c r="K59" s="4">
        <v>3920</v>
      </c>
      <c r="L59" s="4">
        <v>2160</v>
      </c>
    </row>
    <row r="60" spans="1:12" x14ac:dyDescent="0.35">
      <c r="A60" t="s">
        <v>159</v>
      </c>
      <c r="B60" s="3" t="s">
        <v>160</v>
      </c>
      <c r="C60" t="s">
        <v>15</v>
      </c>
      <c r="D60" t="s">
        <v>43</v>
      </c>
      <c r="E60" t="s">
        <v>44</v>
      </c>
      <c r="F60" t="s">
        <v>29</v>
      </c>
      <c r="G60">
        <v>1</v>
      </c>
      <c r="H60" s="4">
        <v>14500</v>
      </c>
      <c r="I60" s="5">
        <v>0.15</v>
      </c>
      <c r="J60" s="4">
        <v>12325</v>
      </c>
      <c r="K60" s="4">
        <v>11200</v>
      </c>
      <c r="L60" s="4">
        <v>1125</v>
      </c>
    </row>
    <row r="61" spans="1:12" x14ac:dyDescent="0.35">
      <c r="A61" t="s">
        <v>161</v>
      </c>
      <c r="B61" s="3" t="s">
        <v>162</v>
      </c>
      <c r="C61" t="s">
        <v>19</v>
      </c>
      <c r="D61" t="s">
        <v>50</v>
      </c>
      <c r="E61" t="s">
        <v>51</v>
      </c>
      <c r="F61" t="s">
        <v>31</v>
      </c>
      <c r="G61">
        <v>2</v>
      </c>
      <c r="H61" s="4">
        <v>4900</v>
      </c>
      <c r="I61" s="5">
        <v>0.05</v>
      </c>
      <c r="J61" s="4">
        <v>9310</v>
      </c>
      <c r="K61" s="4">
        <v>7200</v>
      </c>
      <c r="L61" s="4">
        <v>2110</v>
      </c>
    </row>
    <row r="62" spans="1:12" x14ac:dyDescent="0.35">
      <c r="A62" t="s">
        <v>163</v>
      </c>
      <c r="B62" s="3" t="s">
        <v>162</v>
      </c>
      <c r="C62" t="s">
        <v>17</v>
      </c>
      <c r="D62" t="s">
        <v>59</v>
      </c>
      <c r="E62" t="s">
        <v>60</v>
      </c>
      <c r="F62" t="s">
        <v>27</v>
      </c>
      <c r="G62">
        <v>3</v>
      </c>
      <c r="H62" s="4">
        <v>58000</v>
      </c>
      <c r="I62" s="5">
        <v>0</v>
      </c>
      <c r="J62" s="4">
        <v>174000</v>
      </c>
      <c r="K62" s="4">
        <v>139500</v>
      </c>
      <c r="L62" s="4">
        <v>34500</v>
      </c>
    </row>
    <row r="63" spans="1:12" x14ac:dyDescent="0.35">
      <c r="A63" t="s">
        <v>164</v>
      </c>
      <c r="B63" s="3" t="s">
        <v>165</v>
      </c>
      <c r="C63" t="s">
        <v>13</v>
      </c>
      <c r="D63" t="s">
        <v>43</v>
      </c>
      <c r="E63" t="s">
        <v>70</v>
      </c>
      <c r="F63" t="s">
        <v>32</v>
      </c>
      <c r="G63">
        <v>5</v>
      </c>
      <c r="H63" s="4">
        <v>1800</v>
      </c>
      <c r="I63" s="5">
        <v>0</v>
      </c>
      <c r="J63" s="4">
        <v>9000</v>
      </c>
      <c r="K63" s="4">
        <v>5750</v>
      </c>
      <c r="L63" s="4">
        <v>3250</v>
      </c>
    </row>
    <row r="64" spans="1:12" x14ac:dyDescent="0.35">
      <c r="A64" t="s">
        <v>166</v>
      </c>
      <c r="B64" s="3" t="s">
        <v>167</v>
      </c>
      <c r="C64" t="s">
        <v>15</v>
      </c>
      <c r="D64" t="s">
        <v>59</v>
      </c>
      <c r="E64" t="s">
        <v>56</v>
      </c>
      <c r="F64" t="s">
        <v>32</v>
      </c>
      <c r="G64">
        <v>5</v>
      </c>
      <c r="H64" s="4">
        <v>950</v>
      </c>
      <c r="I64" s="5">
        <v>0</v>
      </c>
      <c r="J64" s="4">
        <v>4750</v>
      </c>
      <c r="K64" s="4">
        <v>2700</v>
      </c>
      <c r="L64" s="4">
        <v>2050</v>
      </c>
    </row>
    <row r="65" spans="1:12" x14ac:dyDescent="0.35">
      <c r="A65" t="s">
        <v>168</v>
      </c>
      <c r="B65" s="3" t="s">
        <v>169</v>
      </c>
      <c r="C65" t="s">
        <v>17</v>
      </c>
      <c r="D65" t="s">
        <v>43</v>
      </c>
      <c r="E65" t="s">
        <v>79</v>
      </c>
      <c r="F65" t="s">
        <v>32</v>
      </c>
      <c r="G65">
        <v>1</v>
      </c>
      <c r="H65" s="4">
        <v>2100</v>
      </c>
      <c r="I65" s="5">
        <v>0</v>
      </c>
      <c r="J65" s="4">
        <v>2100</v>
      </c>
      <c r="K65" s="4">
        <v>1450</v>
      </c>
      <c r="L65" s="4">
        <v>650</v>
      </c>
    </row>
    <row r="66" spans="1:12" x14ac:dyDescent="0.35">
      <c r="A66" t="s">
        <v>170</v>
      </c>
      <c r="B66" s="3" t="s">
        <v>171</v>
      </c>
      <c r="C66" t="s">
        <v>17</v>
      </c>
      <c r="D66" t="s">
        <v>43</v>
      </c>
      <c r="E66" t="s">
        <v>56</v>
      </c>
      <c r="F66" t="s">
        <v>32</v>
      </c>
      <c r="G66">
        <v>1</v>
      </c>
      <c r="H66" s="4">
        <v>950</v>
      </c>
      <c r="I66" s="5">
        <v>0</v>
      </c>
      <c r="J66" s="4">
        <v>950</v>
      </c>
      <c r="K66" s="4">
        <v>540</v>
      </c>
      <c r="L66" s="4">
        <v>410</v>
      </c>
    </row>
    <row r="67" spans="1:12" x14ac:dyDescent="0.35">
      <c r="A67" t="s">
        <v>172</v>
      </c>
      <c r="B67" s="3" t="s">
        <v>173</v>
      </c>
      <c r="C67" t="s">
        <v>13</v>
      </c>
      <c r="D67" t="s">
        <v>59</v>
      </c>
      <c r="E67" t="s">
        <v>120</v>
      </c>
      <c r="F67" t="s">
        <v>31</v>
      </c>
      <c r="G67">
        <v>3</v>
      </c>
      <c r="H67" s="4">
        <v>6200</v>
      </c>
      <c r="I67" s="5">
        <v>0</v>
      </c>
      <c r="J67" s="4">
        <v>18600</v>
      </c>
      <c r="K67" s="4">
        <v>14100</v>
      </c>
      <c r="L67" s="4">
        <v>4500</v>
      </c>
    </row>
    <row r="68" spans="1:12" x14ac:dyDescent="0.35">
      <c r="A68" t="s">
        <v>174</v>
      </c>
      <c r="B68" s="3" t="s">
        <v>175</v>
      </c>
      <c r="C68" t="s">
        <v>15</v>
      </c>
      <c r="D68" t="s">
        <v>43</v>
      </c>
      <c r="E68" t="s">
        <v>70</v>
      </c>
      <c r="F68" t="s">
        <v>32</v>
      </c>
      <c r="G68">
        <v>1</v>
      </c>
      <c r="H68" s="4">
        <v>1800</v>
      </c>
      <c r="I68" s="5">
        <v>0.05</v>
      </c>
      <c r="J68" s="4">
        <v>1710</v>
      </c>
      <c r="K68" s="4">
        <v>1150</v>
      </c>
      <c r="L68" s="4">
        <v>560</v>
      </c>
    </row>
    <row r="69" spans="1:12" x14ac:dyDescent="0.35">
      <c r="A69" t="s">
        <v>176</v>
      </c>
      <c r="B69" s="3" t="s">
        <v>175</v>
      </c>
      <c r="C69" t="s">
        <v>19</v>
      </c>
      <c r="D69" t="s">
        <v>59</v>
      </c>
      <c r="E69" t="s">
        <v>44</v>
      </c>
      <c r="F69" t="s">
        <v>29</v>
      </c>
      <c r="G69">
        <v>2</v>
      </c>
      <c r="H69" s="4">
        <v>14500</v>
      </c>
      <c r="I69" s="5">
        <v>0</v>
      </c>
      <c r="J69" s="4">
        <v>29000</v>
      </c>
      <c r="K69" s="4">
        <v>22400</v>
      </c>
      <c r="L69" s="4">
        <v>6600</v>
      </c>
    </row>
    <row r="70" spans="1:12" x14ac:dyDescent="0.35">
      <c r="A70" t="s">
        <v>177</v>
      </c>
      <c r="B70" s="3" t="s">
        <v>178</v>
      </c>
      <c r="C70" t="s">
        <v>17</v>
      </c>
      <c r="D70" t="s">
        <v>50</v>
      </c>
      <c r="E70" t="s">
        <v>44</v>
      </c>
      <c r="F70" t="s">
        <v>29</v>
      </c>
      <c r="G70">
        <v>2</v>
      </c>
      <c r="H70" s="4">
        <v>14500</v>
      </c>
      <c r="I70" s="5">
        <v>0.05</v>
      </c>
      <c r="J70" s="4">
        <v>27550</v>
      </c>
      <c r="K70" s="4">
        <v>22400</v>
      </c>
      <c r="L70" s="4">
        <v>5150</v>
      </c>
    </row>
    <row r="71" spans="1:12" x14ac:dyDescent="0.35">
      <c r="A71" t="s">
        <v>179</v>
      </c>
      <c r="B71" s="3" t="s">
        <v>180</v>
      </c>
      <c r="C71" t="s">
        <v>17</v>
      </c>
      <c r="D71" t="s">
        <v>43</v>
      </c>
      <c r="E71" t="s">
        <v>56</v>
      </c>
      <c r="F71" t="s">
        <v>32</v>
      </c>
      <c r="G71">
        <v>3</v>
      </c>
      <c r="H71" s="4">
        <v>950</v>
      </c>
      <c r="I71" s="5">
        <v>0.05</v>
      </c>
      <c r="J71" s="4">
        <v>2707.5</v>
      </c>
      <c r="K71" s="4">
        <v>1620</v>
      </c>
      <c r="L71" s="4">
        <v>1087.5</v>
      </c>
    </row>
    <row r="72" spans="1:12" x14ac:dyDescent="0.35">
      <c r="A72" t="s">
        <v>181</v>
      </c>
      <c r="B72" s="3" t="s">
        <v>182</v>
      </c>
      <c r="C72" t="s">
        <v>17</v>
      </c>
      <c r="D72" t="s">
        <v>59</v>
      </c>
      <c r="E72" t="s">
        <v>53</v>
      </c>
      <c r="F72" t="s">
        <v>27</v>
      </c>
      <c r="G72">
        <v>2</v>
      </c>
      <c r="H72" s="4">
        <v>38500</v>
      </c>
      <c r="I72" s="5">
        <v>0.1</v>
      </c>
      <c r="J72" s="4">
        <v>69300</v>
      </c>
      <c r="K72" s="4">
        <v>62000</v>
      </c>
      <c r="L72" s="4">
        <v>7300</v>
      </c>
    </row>
    <row r="73" spans="1:12" x14ac:dyDescent="0.35">
      <c r="A73" t="s">
        <v>183</v>
      </c>
      <c r="B73" s="3" t="s">
        <v>182</v>
      </c>
      <c r="C73" t="s">
        <v>19</v>
      </c>
      <c r="D73" t="s">
        <v>43</v>
      </c>
      <c r="E73" t="s">
        <v>73</v>
      </c>
      <c r="F73" t="s">
        <v>32</v>
      </c>
      <c r="G73">
        <v>1</v>
      </c>
      <c r="H73" s="4">
        <v>1600</v>
      </c>
      <c r="I73" s="5">
        <v>0.15</v>
      </c>
      <c r="J73" s="4">
        <v>1360</v>
      </c>
      <c r="K73" s="4">
        <v>980</v>
      </c>
      <c r="L73" s="4">
        <v>380</v>
      </c>
    </row>
    <row r="74" spans="1:12" x14ac:dyDescent="0.35">
      <c r="A74" t="s">
        <v>184</v>
      </c>
      <c r="B74" s="3" t="s">
        <v>185</v>
      </c>
      <c r="C74" t="s">
        <v>17</v>
      </c>
      <c r="D74" t="s">
        <v>43</v>
      </c>
      <c r="E74" t="s">
        <v>51</v>
      </c>
      <c r="F74" t="s">
        <v>31</v>
      </c>
      <c r="G74">
        <v>1</v>
      </c>
      <c r="H74" s="4">
        <v>4900</v>
      </c>
      <c r="I74" s="5">
        <v>0</v>
      </c>
      <c r="J74" s="4">
        <v>4900</v>
      </c>
      <c r="K74" s="4">
        <v>3600</v>
      </c>
      <c r="L74" s="4">
        <v>1300</v>
      </c>
    </row>
    <row r="75" spans="1:12" x14ac:dyDescent="0.35">
      <c r="A75" t="s">
        <v>186</v>
      </c>
      <c r="B75" s="3" t="s">
        <v>185</v>
      </c>
      <c r="C75" t="s">
        <v>15</v>
      </c>
      <c r="D75" t="s">
        <v>50</v>
      </c>
      <c r="E75" t="s">
        <v>56</v>
      </c>
      <c r="F75" t="s">
        <v>32</v>
      </c>
      <c r="G75">
        <v>1</v>
      </c>
      <c r="H75" s="4">
        <v>950</v>
      </c>
      <c r="I75" s="5">
        <v>0.05</v>
      </c>
      <c r="J75" s="4">
        <v>902.5</v>
      </c>
      <c r="K75" s="4">
        <v>540</v>
      </c>
      <c r="L75" s="4">
        <v>362.5</v>
      </c>
    </row>
    <row r="76" spans="1:12" x14ac:dyDescent="0.35">
      <c r="A76" t="s">
        <v>187</v>
      </c>
      <c r="B76" s="3" t="s">
        <v>185</v>
      </c>
      <c r="C76" t="s">
        <v>15</v>
      </c>
      <c r="D76" t="s">
        <v>43</v>
      </c>
      <c r="E76" t="s">
        <v>120</v>
      </c>
      <c r="F76" t="s">
        <v>31</v>
      </c>
      <c r="G76">
        <v>1</v>
      </c>
      <c r="H76" s="4">
        <v>6200</v>
      </c>
      <c r="I76" s="5">
        <v>0.1</v>
      </c>
      <c r="J76" s="4">
        <v>5580</v>
      </c>
      <c r="K76" s="4">
        <v>4700</v>
      </c>
      <c r="L76" s="4">
        <v>880</v>
      </c>
    </row>
    <row r="77" spans="1:12" x14ac:dyDescent="0.35">
      <c r="A77" t="s">
        <v>188</v>
      </c>
      <c r="B77" s="3" t="s">
        <v>185</v>
      </c>
      <c r="C77" t="s">
        <v>17</v>
      </c>
      <c r="D77" t="s">
        <v>59</v>
      </c>
      <c r="E77" t="s">
        <v>79</v>
      </c>
      <c r="F77" t="s">
        <v>32</v>
      </c>
      <c r="G77">
        <v>3</v>
      </c>
      <c r="H77" s="4">
        <v>2100</v>
      </c>
      <c r="I77" s="5">
        <v>0.15</v>
      </c>
      <c r="J77" s="4">
        <v>5355</v>
      </c>
      <c r="K77" s="4">
        <v>4350</v>
      </c>
      <c r="L77" s="4">
        <v>1005</v>
      </c>
    </row>
    <row r="78" spans="1:12" x14ac:dyDescent="0.35">
      <c r="A78" t="s">
        <v>189</v>
      </c>
      <c r="B78" s="3" t="s">
        <v>190</v>
      </c>
      <c r="C78" t="s">
        <v>19</v>
      </c>
      <c r="D78" t="s">
        <v>43</v>
      </c>
      <c r="E78" t="s">
        <v>120</v>
      </c>
      <c r="F78" t="s">
        <v>31</v>
      </c>
      <c r="G78">
        <v>4</v>
      </c>
      <c r="H78" s="4">
        <v>6200</v>
      </c>
      <c r="I78" s="5">
        <v>0.1</v>
      </c>
      <c r="J78" s="4">
        <v>22320</v>
      </c>
      <c r="K78" s="4">
        <v>18800</v>
      </c>
      <c r="L78" s="4">
        <v>3520</v>
      </c>
    </row>
    <row r="79" spans="1:12" x14ac:dyDescent="0.35">
      <c r="A79" t="s">
        <v>191</v>
      </c>
      <c r="B79" s="3" t="s">
        <v>192</v>
      </c>
      <c r="C79" t="s">
        <v>13</v>
      </c>
      <c r="D79" t="s">
        <v>50</v>
      </c>
      <c r="E79" t="s">
        <v>56</v>
      </c>
      <c r="F79" t="s">
        <v>32</v>
      </c>
      <c r="G79">
        <v>1</v>
      </c>
      <c r="H79" s="4">
        <v>950</v>
      </c>
      <c r="I79" s="5">
        <v>0</v>
      </c>
      <c r="J79" s="4">
        <v>950</v>
      </c>
      <c r="K79" s="4">
        <v>540</v>
      </c>
      <c r="L79" s="4">
        <v>410</v>
      </c>
    </row>
    <row r="80" spans="1:12" x14ac:dyDescent="0.35">
      <c r="A80" t="s">
        <v>193</v>
      </c>
      <c r="B80" s="3" t="s">
        <v>194</v>
      </c>
      <c r="C80" t="s">
        <v>19</v>
      </c>
      <c r="D80" t="s">
        <v>43</v>
      </c>
      <c r="E80" t="s">
        <v>111</v>
      </c>
      <c r="F80" t="s">
        <v>29</v>
      </c>
      <c r="G80">
        <v>4</v>
      </c>
      <c r="H80" s="4">
        <v>9800</v>
      </c>
      <c r="I80" s="5">
        <v>0.05</v>
      </c>
      <c r="J80" s="4">
        <v>37240</v>
      </c>
      <c r="K80" s="4">
        <v>29600</v>
      </c>
      <c r="L80" s="4">
        <v>7640</v>
      </c>
    </row>
    <row r="81" spans="1:12" x14ac:dyDescent="0.35">
      <c r="A81" t="s">
        <v>195</v>
      </c>
      <c r="B81" s="3" t="s">
        <v>194</v>
      </c>
      <c r="C81" t="s">
        <v>11</v>
      </c>
      <c r="D81" t="s">
        <v>59</v>
      </c>
      <c r="E81" t="s">
        <v>120</v>
      </c>
      <c r="F81" t="s">
        <v>31</v>
      </c>
      <c r="G81">
        <v>1</v>
      </c>
      <c r="H81" s="4">
        <v>6200</v>
      </c>
      <c r="I81" s="5">
        <v>0.1</v>
      </c>
      <c r="J81" s="4">
        <v>5580</v>
      </c>
      <c r="K81" s="4">
        <v>4700</v>
      </c>
      <c r="L81" s="4">
        <v>880</v>
      </c>
    </row>
    <row r="82" spans="1:12" x14ac:dyDescent="0.35">
      <c r="A82" t="s">
        <v>196</v>
      </c>
      <c r="B82" s="3" t="s">
        <v>197</v>
      </c>
      <c r="C82" t="s">
        <v>13</v>
      </c>
      <c r="D82" t="s">
        <v>43</v>
      </c>
      <c r="E82" t="s">
        <v>53</v>
      </c>
      <c r="F82" t="s">
        <v>27</v>
      </c>
      <c r="G82">
        <v>2</v>
      </c>
      <c r="H82" s="4">
        <v>38500</v>
      </c>
      <c r="I82" s="5">
        <v>0.05</v>
      </c>
      <c r="J82" s="4">
        <v>73150</v>
      </c>
      <c r="K82" s="4">
        <v>62000</v>
      </c>
      <c r="L82" s="4">
        <v>11150</v>
      </c>
    </row>
    <row r="83" spans="1:12" x14ac:dyDescent="0.35">
      <c r="A83" t="s">
        <v>198</v>
      </c>
      <c r="B83" s="3" t="s">
        <v>199</v>
      </c>
      <c r="C83" t="s">
        <v>13</v>
      </c>
      <c r="D83" t="s">
        <v>50</v>
      </c>
      <c r="E83" t="s">
        <v>53</v>
      </c>
      <c r="F83" t="s">
        <v>27</v>
      </c>
      <c r="G83">
        <v>1</v>
      </c>
      <c r="H83" s="4">
        <v>38500</v>
      </c>
      <c r="I83" s="5">
        <v>0</v>
      </c>
      <c r="J83" s="4">
        <v>38500</v>
      </c>
      <c r="K83" s="4">
        <v>31000</v>
      </c>
      <c r="L83" s="4">
        <v>7500</v>
      </c>
    </row>
    <row r="84" spans="1:12" x14ac:dyDescent="0.35">
      <c r="A84" t="s">
        <v>200</v>
      </c>
      <c r="B84" s="3" t="s">
        <v>201</v>
      </c>
      <c r="C84" t="s">
        <v>15</v>
      </c>
      <c r="D84" t="s">
        <v>59</v>
      </c>
      <c r="E84" t="s">
        <v>47</v>
      </c>
      <c r="F84" t="s">
        <v>32</v>
      </c>
      <c r="G84">
        <v>1</v>
      </c>
      <c r="H84" s="4">
        <v>1450</v>
      </c>
      <c r="I84" s="5">
        <v>0.1</v>
      </c>
      <c r="J84" s="4">
        <v>1305</v>
      </c>
      <c r="K84" s="4">
        <v>900</v>
      </c>
      <c r="L84" s="4">
        <v>405</v>
      </c>
    </row>
    <row r="85" spans="1:12" x14ac:dyDescent="0.35">
      <c r="A85" t="s">
        <v>202</v>
      </c>
      <c r="B85" s="3" t="s">
        <v>203</v>
      </c>
      <c r="C85" t="s">
        <v>13</v>
      </c>
      <c r="D85" t="s">
        <v>50</v>
      </c>
      <c r="E85" t="s">
        <v>60</v>
      </c>
      <c r="F85" t="s">
        <v>27</v>
      </c>
      <c r="G85">
        <v>3</v>
      </c>
      <c r="H85" s="4">
        <v>58000</v>
      </c>
      <c r="I85" s="5">
        <v>0.1</v>
      </c>
      <c r="J85" s="4">
        <v>156600</v>
      </c>
      <c r="K85" s="4">
        <v>139500</v>
      </c>
      <c r="L85" s="4">
        <v>17100</v>
      </c>
    </row>
    <row r="86" spans="1:12" x14ac:dyDescent="0.35">
      <c r="A86" t="s">
        <v>204</v>
      </c>
      <c r="B86" s="3" t="s">
        <v>205</v>
      </c>
      <c r="C86" t="s">
        <v>13</v>
      </c>
      <c r="D86" t="s">
        <v>43</v>
      </c>
      <c r="E86" t="s">
        <v>47</v>
      </c>
      <c r="F86" t="s">
        <v>32</v>
      </c>
      <c r="G86">
        <v>1</v>
      </c>
      <c r="H86" s="4">
        <v>1450</v>
      </c>
      <c r="I86" s="5">
        <v>0</v>
      </c>
      <c r="J86" s="4">
        <v>1450</v>
      </c>
      <c r="K86" s="4">
        <v>900</v>
      </c>
      <c r="L86" s="4">
        <v>550</v>
      </c>
    </row>
    <row r="87" spans="1:12" x14ac:dyDescent="0.35">
      <c r="A87" t="s">
        <v>206</v>
      </c>
      <c r="B87" s="3" t="s">
        <v>207</v>
      </c>
      <c r="C87" t="s">
        <v>11</v>
      </c>
      <c r="D87" t="s">
        <v>50</v>
      </c>
      <c r="E87" t="s">
        <v>51</v>
      </c>
      <c r="F87" t="s">
        <v>31</v>
      </c>
      <c r="G87">
        <v>2</v>
      </c>
      <c r="H87" s="4">
        <v>4900</v>
      </c>
      <c r="I87" s="5">
        <v>0.15</v>
      </c>
      <c r="J87" s="4">
        <v>8330</v>
      </c>
      <c r="K87" s="4">
        <v>7200</v>
      </c>
      <c r="L87" s="4">
        <v>1130</v>
      </c>
    </row>
    <row r="88" spans="1:12" x14ac:dyDescent="0.35">
      <c r="A88" t="s">
        <v>208</v>
      </c>
      <c r="B88" s="3" t="s">
        <v>209</v>
      </c>
      <c r="C88" t="s">
        <v>17</v>
      </c>
      <c r="D88" t="s">
        <v>43</v>
      </c>
      <c r="E88" t="s">
        <v>51</v>
      </c>
      <c r="F88" t="s">
        <v>31</v>
      </c>
      <c r="G88">
        <v>2</v>
      </c>
      <c r="H88" s="4">
        <v>4900</v>
      </c>
      <c r="I88" s="5">
        <v>0.15</v>
      </c>
      <c r="J88" s="4">
        <v>8330</v>
      </c>
      <c r="K88" s="4">
        <v>7200</v>
      </c>
      <c r="L88" s="4">
        <v>1130</v>
      </c>
    </row>
    <row r="89" spans="1:12" x14ac:dyDescent="0.35">
      <c r="A89" t="s">
        <v>210</v>
      </c>
      <c r="B89" s="3" t="s">
        <v>211</v>
      </c>
      <c r="C89" t="s">
        <v>15</v>
      </c>
      <c r="D89" t="s">
        <v>50</v>
      </c>
      <c r="E89" t="s">
        <v>51</v>
      </c>
      <c r="F89" t="s">
        <v>31</v>
      </c>
      <c r="G89">
        <v>1</v>
      </c>
      <c r="H89" s="4">
        <v>4900</v>
      </c>
      <c r="I89" s="5">
        <v>0.05</v>
      </c>
      <c r="J89" s="4">
        <v>4655</v>
      </c>
      <c r="K89" s="4">
        <v>3600</v>
      </c>
      <c r="L89" s="4">
        <v>1055</v>
      </c>
    </row>
    <row r="90" spans="1:12" x14ac:dyDescent="0.35">
      <c r="A90" t="s">
        <v>212</v>
      </c>
      <c r="B90" s="3" t="s">
        <v>211</v>
      </c>
      <c r="C90" t="s">
        <v>17</v>
      </c>
      <c r="D90" t="s">
        <v>43</v>
      </c>
      <c r="E90" t="s">
        <v>66</v>
      </c>
      <c r="F90" t="s">
        <v>32</v>
      </c>
      <c r="G90">
        <v>1</v>
      </c>
      <c r="H90" s="4">
        <v>650</v>
      </c>
      <c r="I90" s="5">
        <v>0.15</v>
      </c>
      <c r="J90" s="4">
        <v>552.5</v>
      </c>
      <c r="K90" s="4">
        <v>390</v>
      </c>
      <c r="L90" s="4">
        <v>162.5</v>
      </c>
    </row>
    <row r="91" spans="1:12" x14ac:dyDescent="0.35">
      <c r="A91" t="s">
        <v>213</v>
      </c>
      <c r="B91" s="3" t="s">
        <v>211</v>
      </c>
      <c r="C91" t="s">
        <v>17</v>
      </c>
      <c r="D91" t="s">
        <v>50</v>
      </c>
      <c r="E91" t="s">
        <v>53</v>
      </c>
      <c r="F91" t="s">
        <v>27</v>
      </c>
      <c r="G91">
        <v>1</v>
      </c>
      <c r="H91" s="4">
        <v>38500</v>
      </c>
      <c r="I91" s="5">
        <v>0.15</v>
      </c>
      <c r="J91" s="4">
        <v>32725</v>
      </c>
      <c r="K91" s="4">
        <v>31000</v>
      </c>
      <c r="L91" s="4">
        <v>1725</v>
      </c>
    </row>
    <row r="92" spans="1:12" x14ac:dyDescent="0.35">
      <c r="A92" t="s">
        <v>214</v>
      </c>
      <c r="B92" s="3" t="s">
        <v>215</v>
      </c>
      <c r="C92" t="s">
        <v>17</v>
      </c>
      <c r="D92" t="s">
        <v>50</v>
      </c>
      <c r="E92" t="s">
        <v>70</v>
      </c>
      <c r="F92" t="s">
        <v>32</v>
      </c>
      <c r="G92">
        <v>3</v>
      </c>
      <c r="H92" s="4">
        <v>1800</v>
      </c>
      <c r="I92" s="5">
        <v>0</v>
      </c>
      <c r="J92" s="4">
        <v>5400</v>
      </c>
      <c r="K92" s="4">
        <v>3450</v>
      </c>
      <c r="L92" s="4">
        <v>1950</v>
      </c>
    </row>
    <row r="93" spans="1:12" x14ac:dyDescent="0.35">
      <c r="A93" t="s">
        <v>216</v>
      </c>
      <c r="B93" s="3" t="s">
        <v>217</v>
      </c>
      <c r="C93" t="s">
        <v>11</v>
      </c>
      <c r="D93" t="s">
        <v>50</v>
      </c>
      <c r="E93" t="s">
        <v>111</v>
      </c>
      <c r="F93" t="s">
        <v>29</v>
      </c>
      <c r="G93">
        <v>2</v>
      </c>
      <c r="H93" s="4">
        <v>9800</v>
      </c>
      <c r="I93" s="5">
        <v>0</v>
      </c>
      <c r="J93" s="4">
        <v>19600</v>
      </c>
      <c r="K93" s="4">
        <v>14800</v>
      </c>
      <c r="L93" s="4">
        <v>4800</v>
      </c>
    </row>
    <row r="94" spans="1:12" x14ac:dyDescent="0.35">
      <c r="A94" t="s">
        <v>218</v>
      </c>
      <c r="B94" s="3" t="s">
        <v>219</v>
      </c>
      <c r="C94" t="s">
        <v>13</v>
      </c>
      <c r="D94" t="s">
        <v>59</v>
      </c>
      <c r="E94" t="s">
        <v>79</v>
      </c>
      <c r="F94" t="s">
        <v>32</v>
      </c>
      <c r="G94">
        <v>4</v>
      </c>
      <c r="H94" s="4">
        <v>2100</v>
      </c>
      <c r="I94" s="5">
        <v>0.1</v>
      </c>
      <c r="J94" s="4">
        <v>7560</v>
      </c>
      <c r="K94" s="4">
        <v>5800</v>
      </c>
      <c r="L94" s="4">
        <v>1760</v>
      </c>
    </row>
    <row r="95" spans="1:12" x14ac:dyDescent="0.35">
      <c r="A95" t="s">
        <v>220</v>
      </c>
      <c r="B95" s="3" t="s">
        <v>221</v>
      </c>
      <c r="C95" t="s">
        <v>13</v>
      </c>
      <c r="D95" t="s">
        <v>43</v>
      </c>
      <c r="E95" t="s">
        <v>53</v>
      </c>
      <c r="F95" t="s">
        <v>27</v>
      </c>
      <c r="G95">
        <v>2</v>
      </c>
      <c r="H95" s="4">
        <v>38500</v>
      </c>
      <c r="I95" s="5">
        <v>0</v>
      </c>
      <c r="J95" s="4">
        <v>77000</v>
      </c>
      <c r="K95" s="4">
        <v>62000</v>
      </c>
      <c r="L95" s="4">
        <v>15000</v>
      </c>
    </row>
    <row r="96" spans="1:12" x14ac:dyDescent="0.35">
      <c r="A96" t="s">
        <v>222</v>
      </c>
      <c r="B96" s="3" t="s">
        <v>223</v>
      </c>
      <c r="C96" t="s">
        <v>13</v>
      </c>
      <c r="D96" t="s">
        <v>43</v>
      </c>
      <c r="E96" t="s">
        <v>44</v>
      </c>
      <c r="F96" t="s">
        <v>29</v>
      </c>
      <c r="G96">
        <v>2</v>
      </c>
      <c r="H96" s="4">
        <v>14500</v>
      </c>
      <c r="I96" s="5">
        <v>0</v>
      </c>
      <c r="J96" s="4">
        <v>29000</v>
      </c>
      <c r="K96" s="4">
        <v>22400</v>
      </c>
      <c r="L96" s="4">
        <v>6600</v>
      </c>
    </row>
    <row r="97" spans="1:12" x14ac:dyDescent="0.35">
      <c r="A97" t="s">
        <v>224</v>
      </c>
      <c r="B97" s="3" t="s">
        <v>225</v>
      </c>
      <c r="C97" t="s">
        <v>11</v>
      </c>
      <c r="D97" t="s">
        <v>50</v>
      </c>
      <c r="E97" t="s">
        <v>60</v>
      </c>
      <c r="F97" t="s">
        <v>27</v>
      </c>
      <c r="G97">
        <v>1</v>
      </c>
      <c r="H97" s="4">
        <v>58000</v>
      </c>
      <c r="I97" s="5">
        <v>0</v>
      </c>
      <c r="J97" s="4">
        <v>58000</v>
      </c>
      <c r="K97" s="4">
        <v>46500</v>
      </c>
      <c r="L97" s="4">
        <v>11500</v>
      </c>
    </row>
    <row r="98" spans="1:12" x14ac:dyDescent="0.35">
      <c r="A98" t="s">
        <v>226</v>
      </c>
      <c r="B98" s="3" t="s">
        <v>225</v>
      </c>
      <c r="C98" t="s">
        <v>19</v>
      </c>
      <c r="D98" t="s">
        <v>50</v>
      </c>
      <c r="E98" t="s">
        <v>51</v>
      </c>
      <c r="F98" t="s">
        <v>31</v>
      </c>
      <c r="G98">
        <v>4</v>
      </c>
      <c r="H98" s="4">
        <v>4900</v>
      </c>
      <c r="I98" s="5">
        <v>0</v>
      </c>
      <c r="J98" s="4">
        <v>19600</v>
      </c>
      <c r="K98" s="4">
        <v>14400</v>
      </c>
      <c r="L98" s="4">
        <v>5200</v>
      </c>
    </row>
    <row r="99" spans="1:12" x14ac:dyDescent="0.35">
      <c r="A99" t="s">
        <v>227</v>
      </c>
      <c r="B99" s="3" t="s">
        <v>228</v>
      </c>
      <c r="C99" t="s">
        <v>11</v>
      </c>
      <c r="D99" t="s">
        <v>43</v>
      </c>
      <c r="E99" t="s">
        <v>120</v>
      </c>
      <c r="F99" t="s">
        <v>31</v>
      </c>
      <c r="G99">
        <v>2</v>
      </c>
      <c r="H99" s="4">
        <v>6200</v>
      </c>
      <c r="I99" s="5">
        <v>0</v>
      </c>
      <c r="J99" s="4">
        <v>12400</v>
      </c>
      <c r="K99" s="4">
        <v>9400</v>
      </c>
      <c r="L99" s="4">
        <v>3000</v>
      </c>
    </row>
    <row r="100" spans="1:12" x14ac:dyDescent="0.35">
      <c r="A100" t="s">
        <v>229</v>
      </c>
      <c r="B100" s="3" t="s">
        <v>230</v>
      </c>
      <c r="C100" t="s">
        <v>11</v>
      </c>
      <c r="D100" t="s">
        <v>50</v>
      </c>
      <c r="E100" t="s">
        <v>120</v>
      </c>
      <c r="F100" t="s">
        <v>31</v>
      </c>
      <c r="G100">
        <v>1</v>
      </c>
      <c r="H100" s="4">
        <v>6200</v>
      </c>
      <c r="I100" s="5">
        <v>0.1</v>
      </c>
      <c r="J100" s="4">
        <v>5580</v>
      </c>
      <c r="K100" s="4">
        <v>4700</v>
      </c>
      <c r="L100" s="4">
        <v>880</v>
      </c>
    </row>
    <row r="101" spans="1:12" x14ac:dyDescent="0.35">
      <c r="A101" t="s">
        <v>231</v>
      </c>
      <c r="B101" s="3" t="s">
        <v>230</v>
      </c>
      <c r="C101" t="s">
        <v>11</v>
      </c>
      <c r="D101" t="s">
        <v>43</v>
      </c>
      <c r="E101" t="s">
        <v>60</v>
      </c>
      <c r="F101" t="s">
        <v>27</v>
      </c>
      <c r="G101">
        <v>2</v>
      </c>
      <c r="H101" s="4">
        <v>58000</v>
      </c>
      <c r="I101" s="5">
        <v>0</v>
      </c>
      <c r="J101" s="4">
        <v>116000</v>
      </c>
      <c r="K101" s="4">
        <v>93000</v>
      </c>
      <c r="L101" s="4">
        <v>23000</v>
      </c>
    </row>
    <row r="102" spans="1:12" x14ac:dyDescent="0.35">
      <c r="A102" t="s">
        <v>232</v>
      </c>
      <c r="B102" s="3" t="s">
        <v>233</v>
      </c>
      <c r="C102" t="s">
        <v>11</v>
      </c>
      <c r="D102" t="s">
        <v>59</v>
      </c>
      <c r="E102" t="s">
        <v>44</v>
      </c>
      <c r="F102" t="s">
        <v>29</v>
      </c>
      <c r="G102">
        <v>5</v>
      </c>
      <c r="H102" s="4">
        <v>14500</v>
      </c>
      <c r="I102" s="5">
        <v>0.05</v>
      </c>
      <c r="J102" s="4">
        <v>68875</v>
      </c>
      <c r="K102" s="4">
        <v>56000</v>
      </c>
      <c r="L102" s="4">
        <v>12875</v>
      </c>
    </row>
    <row r="103" spans="1:12" x14ac:dyDescent="0.35">
      <c r="A103" t="s">
        <v>234</v>
      </c>
      <c r="B103" s="3" t="s">
        <v>235</v>
      </c>
      <c r="C103" t="s">
        <v>19</v>
      </c>
      <c r="D103" t="s">
        <v>50</v>
      </c>
      <c r="E103" t="s">
        <v>66</v>
      </c>
      <c r="F103" t="s">
        <v>32</v>
      </c>
      <c r="G103">
        <v>2</v>
      </c>
      <c r="H103" s="4">
        <v>650</v>
      </c>
      <c r="I103" s="5">
        <v>0</v>
      </c>
      <c r="J103" s="4">
        <v>1300</v>
      </c>
      <c r="K103" s="4">
        <v>780</v>
      </c>
      <c r="L103" s="4">
        <v>520</v>
      </c>
    </row>
    <row r="104" spans="1:12" x14ac:dyDescent="0.35">
      <c r="A104" t="s">
        <v>236</v>
      </c>
      <c r="B104" s="3" t="s">
        <v>237</v>
      </c>
      <c r="C104" t="s">
        <v>13</v>
      </c>
      <c r="D104" t="s">
        <v>50</v>
      </c>
      <c r="E104" t="s">
        <v>79</v>
      </c>
      <c r="F104" t="s">
        <v>32</v>
      </c>
      <c r="G104">
        <v>1</v>
      </c>
      <c r="H104" s="4">
        <v>2100</v>
      </c>
      <c r="I104" s="5">
        <v>0.15</v>
      </c>
      <c r="J104" s="4">
        <v>1785</v>
      </c>
      <c r="K104" s="4">
        <v>1450</v>
      </c>
      <c r="L104" s="4">
        <v>335</v>
      </c>
    </row>
    <row r="105" spans="1:12" x14ac:dyDescent="0.35">
      <c r="A105" t="s">
        <v>238</v>
      </c>
      <c r="B105" s="3" t="s">
        <v>237</v>
      </c>
      <c r="C105" t="s">
        <v>13</v>
      </c>
      <c r="D105" t="s">
        <v>59</v>
      </c>
      <c r="E105" t="s">
        <v>79</v>
      </c>
      <c r="F105" t="s">
        <v>32</v>
      </c>
      <c r="G105">
        <v>1</v>
      </c>
      <c r="H105" s="4">
        <v>2100</v>
      </c>
      <c r="I105" s="5">
        <v>0.15</v>
      </c>
      <c r="J105" s="4">
        <v>1785</v>
      </c>
      <c r="K105" s="4">
        <v>1450</v>
      </c>
      <c r="L105" s="4">
        <v>335</v>
      </c>
    </row>
    <row r="106" spans="1:12" x14ac:dyDescent="0.35">
      <c r="A106" t="s">
        <v>239</v>
      </c>
      <c r="B106" s="3" t="s">
        <v>240</v>
      </c>
      <c r="C106" t="s">
        <v>19</v>
      </c>
      <c r="D106" t="s">
        <v>59</v>
      </c>
      <c r="E106" t="s">
        <v>44</v>
      </c>
      <c r="F106" t="s">
        <v>29</v>
      </c>
      <c r="G106">
        <v>3</v>
      </c>
      <c r="H106" s="4">
        <v>14500</v>
      </c>
      <c r="I106" s="5">
        <v>0.1</v>
      </c>
      <c r="J106" s="4">
        <v>39150</v>
      </c>
      <c r="K106" s="4">
        <v>33600</v>
      </c>
      <c r="L106" s="4">
        <v>5550</v>
      </c>
    </row>
    <row r="107" spans="1:12" x14ac:dyDescent="0.35">
      <c r="A107" t="s">
        <v>241</v>
      </c>
      <c r="B107" s="3" t="s">
        <v>240</v>
      </c>
      <c r="C107" t="s">
        <v>17</v>
      </c>
      <c r="D107" t="s">
        <v>59</v>
      </c>
      <c r="E107" t="s">
        <v>79</v>
      </c>
      <c r="F107" t="s">
        <v>32</v>
      </c>
      <c r="G107">
        <v>2</v>
      </c>
      <c r="H107" s="4">
        <v>2100</v>
      </c>
      <c r="I107" s="5">
        <v>0.05</v>
      </c>
      <c r="J107" s="4">
        <v>3990</v>
      </c>
      <c r="K107" s="4">
        <v>2900</v>
      </c>
      <c r="L107" s="4">
        <v>1090</v>
      </c>
    </row>
    <row r="108" spans="1:12" x14ac:dyDescent="0.35">
      <c r="A108" t="s">
        <v>242</v>
      </c>
      <c r="B108" s="3" t="s">
        <v>243</v>
      </c>
      <c r="C108" t="s">
        <v>13</v>
      </c>
      <c r="D108" t="s">
        <v>43</v>
      </c>
      <c r="E108" t="s">
        <v>111</v>
      </c>
      <c r="F108" t="s">
        <v>29</v>
      </c>
      <c r="G108">
        <v>1</v>
      </c>
      <c r="H108" s="4">
        <v>9800</v>
      </c>
      <c r="I108" s="5">
        <v>0</v>
      </c>
      <c r="J108" s="4">
        <v>9800</v>
      </c>
      <c r="K108" s="4">
        <v>7400</v>
      </c>
      <c r="L108" s="4">
        <v>2400</v>
      </c>
    </row>
    <row r="109" spans="1:12" x14ac:dyDescent="0.35">
      <c r="A109" t="s">
        <v>244</v>
      </c>
      <c r="B109" s="3" t="s">
        <v>245</v>
      </c>
      <c r="C109" t="s">
        <v>15</v>
      </c>
      <c r="D109" t="s">
        <v>50</v>
      </c>
      <c r="E109" t="s">
        <v>66</v>
      </c>
      <c r="F109" t="s">
        <v>32</v>
      </c>
      <c r="G109">
        <v>1</v>
      </c>
      <c r="H109" s="4">
        <v>650</v>
      </c>
      <c r="I109" s="5">
        <v>0.1</v>
      </c>
      <c r="J109" s="4">
        <v>585</v>
      </c>
      <c r="K109" s="4">
        <v>390</v>
      </c>
      <c r="L109" s="4">
        <v>195</v>
      </c>
    </row>
    <row r="110" spans="1:12" x14ac:dyDescent="0.35">
      <c r="A110" t="s">
        <v>246</v>
      </c>
      <c r="B110" s="3" t="s">
        <v>245</v>
      </c>
      <c r="C110" t="s">
        <v>13</v>
      </c>
      <c r="D110" t="s">
        <v>59</v>
      </c>
      <c r="E110" t="s">
        <v>70</v>
      </c>
      <c r="F110" t="s">
        <v>32</v>
      </c>
      <c r="G110">
        <v>2</v>
      </c>
      <c r="H110" s="4">
        <v>1800</v>
      </c>
      <c r="I110" s="5">
        <v>0.15</v>
      </c>
      <c r="J110" s="4">
        <v>3060</v>
      </c>
      <c r="K110" s="4">
        <v>2300</v>
      </c>
      <c r="L110" s="4">
        <v>760</v>
      </c>
    </row>
    <row r="111" spans="1:12" x14ac:dyDescent="0.35">
      <c r="A111" t="s">
        <v>247</v>
      </c>
      <c r="B111" s="3" t="s">
        <v>245</v>
      </c>
      <c r="C111" t="s">
        <v>17</v>
      </c>
      <c r="D111" t="s">
        <v>50</v>
      </c>
      <c r="E111" t="s">
        <v>66</v>
      </c>
      <c r="F111" t="s">
        <v>32</v>
      </c>
      <c r="G111">
        <v>2</v>
      </c>
      <c r="H111" s="4">
        <v>650</v>
      </c>
      <c r="I111" s="5">
        <v>0.1</v>
      </c>
      <c r="J111" s="4">
        <v>1170</v>
      </c>
      <c r="K111" s="4">
        <v>780</v>
      </c>
      <c r="L111" s="4">
        <v>390</v>
      </c>
    </row>
    <row r="112" spans="1:12" x14ac:dyDescent="0.35">
      <c r="A112" t="s">
        <v>248</v>
      </c>
      <c r="B112" s="3" t="s">
        <v>249</v>
      </c>
      <c r="C112" t="s">
        <v>11</v>
      </c>
      <c r="D112" t="s">
        <v>50</v>
      </c>
      <c r="E112" t="s">
        <v>79</v>
      </c>
      <c r="F112" t="s">
        <v>32</v>
      </c>
      <c r="G112">
        <v>4</v>
      </c>
      <c r="H112" s="4">
        <v>2100</v>
      </c>
      <c r="I112" s="5">
        <v>0.1</v>
      </c>
      <c r="J112" s="4">
        <v>7560</v>
      </c>
      <c r="K112" s="4">
        <v>5800</v>
      </c>
      <c r="L112" s="4">
        <v>1760</v>
      </c>
    </row>
    <row r="113" spans="1:12" x14ac:dyDescent="0.35">
      <c r="A113" t="s">
        <v>250</v>
      </c>
      <c r="B113" s="3" t="s">
        <v>251</v>
      </c>
      <c r="C113" t="s">
        <v>17</v>
      </c>
      <c r="D113" t="s">
        <v>43</v>
      </c>
      <c r="E113" t="s">
        <v>47</v>
      </c>
      <c r="F113" t="s">
        <v>32</v>
      </c>
      <c r="G113">
        <v>1</v>
      </c>
      <c r="H113" s="4">
        <v>1450</v>
      </c>
      <c r="I113" s="5">
        <v>0.15</v>
      </c>
      <c r="J113" s="4">
        <v>1232.5</v>
      </c>
      <c r="K113" s="4">
        <v>900</v>
      </c>
      <c r="L113" s="4">
        <v>332.5</v>
      </c>
    </row>
    <row r="114" spans="1:12" x14ac:dyDescent="0.35">
      <c r="A114" t="s">
        <v>252</v>
      </c>
      <c r="B114" s="3" t="s">
        <v>253</v>
      </c>
      <c r="C114" t="s">
        <v>13</v>
      </c>
      <c r="D114" t="s">
        <v>43</v>
      </c>
      <c r="E114" t="s">
        <v>44</v>
      </c>
      <c r="F114" t="s">
        <v>29</v>
      </c>
      <c r="G114">
        <v>1</v>
      </c>
      <c r="H114" s="4">
        <v>14500</v>
      </c>
      <c r="I114" s="5">
        <v>0.1</v>
      </c>
      <c r="J114" s="4">
        <v>13050</v>
      </c>
      <c r="K114" s="4">
        <v>11200</v>
      </c>
      <c r="L114" s="4">
        <v>1850</v>
      </c>
    </row>
    <row r="115" spans="1:12" x14ac:dyDescent="0.35">
      <c r="A115" t="s">
        <v>254</v>
      </c>
      <c r="B115" s="3" t="s">
        <v>253</v>
      </c>
      <c r="C115" t="s">
        <v>15</v>
      </c>
      <c r="D115" t="s">
        <v>59</v>
      </c>
      <c r="E115" t="s">
        <v>47</v>
      </c>
      <c r="F115" t="s">
        <v>32</v>
      </c>
      <c r="G115">
        <v>3</v>
      </c>
      <c r="H115" s="4">
        <v>1450</v>
      </c>
      <c r="I115" s="5">
        <v>0.1</v>
      </c>
      <c r="J115" s="4">
        <v>3915</v>
      </c>
      <c r="K115" s="4">
        <v>2700</v>
      </c>
      <c r="L115" s="4">
        <v>1215</v>
      </c>
    </row>
    <row r="116" spans="1:12" x14ac:dyDescent="0.35">
      <c r="A116" t="s">
        <v>255</v>
      </c>
      <c r="B116" s="3" t="s">
        <v>256</v>
      </c>
      <c r="C116" t="s">
        <v>15</v>
      </c>
      <c r="D116" t="s">
        <v>43</v>
      </c>
      <c r="E116" t="s">
        <v>120</v>
      </c>
      <c r="F116" t="s">
        <v>31</v>
      </c>
      <c r="G116">
        <v>3</v>
      </c>
      <c r="H116" s="4">
        <v>6200</v>
      </c>
      <c r="I116" s="5">
        <v>0.1</v>
      </c>
      <c r="J116" s="4">
        <v>16740</v>
      </c>
      <c r="K116" s="4">
        <v>14100</v>
      </c>
      <c r="L116" s="4">
        <v>2640</v>
      </c>
    </row>
    <row r="117" spans="1:12" x14ac:dyDescent="0.35">
      <c r="A117" t="s">
        <v>257</v>
      </c>
      <c r="B117" s="3" t="s">
        <v>256</v>
      </c>
      <c r="C117" t="s">
        <v>13</v>
      </c>
      <c r="D117" t="s">
        <v>43</v>
      </c>
      <c r="E117" t="s">
        <v>47</v>
      </c>
      <c r="F117" t="s">
        <v>32</v>
      </c>
      <c r="G117">
        <v>2</v>
      </c>
      <c r="H117" s="4">
        <v>1450</v>
      </c>
      <c r="I117" s="5">
        <v>0.1</v>
      </c>
      <c r="J117" s="4">
        <v>2610</v>
      </c>
      <c r="K117" s="4">
        <v>1800</v>
      </c>
      <c r="L117" s="4">
        <v>810</v>
      </c>
    </row>
    <row r="118" spans="1:12" x14ac:dyDescent="0.35">
      <c r="A118" t="s">
        <v>258</v>
      </c>
      <c r="B118" s="3" t="s">
        <v>256</v>
      </c>
      <c r="C118" t="s">
        <v>15</v>
      </c>
      <c r="D118" t="s">
        <v>59</v>
      </c>
      <c r="E118" t="s">
        <v>66</v>
      </c>
      <c r="F118" t="s">
        <v>32</v>
      </c>
      <c r="G118">
        <v>1</v>
      </c>
      <c r="H118" s="4">
        <v>650</v>
      </c>
      <c r="I118" s="5">
        <v>0.05</v>
      </c>
      <c r="J118" s="4">
        <v>617.5</v>
      </c>
      <c r="K118" s="4">
        <v>390</v>
      </c>
      <c r="L118" s="4">
        <v>227.5</v>
      </c>
    </row>
    <row r="119" spans="1:12" x14ac:dyDescent="0.35">
      <c r="A119" t="s">
        <v>259</v>
      </c>
      <c r="B119" s="3" t="s">
        <v>260</v>
      </c>
      <c r="C119" t="s">
        <v>11</v>
      </c>
      <c r="D119" t="s">
        <v>50</v>
      </c>
      <c r="E119" t="s">
        <v>51</v>
      </c>
      <c r="F119" t="s">
        <v>31</v>
      </c>
      <c r="G119">
        <v>1</v>
      </c>
      <c r="H119" s="4">
        <v>4900</v>
      </c>
      <c r="I119" s="5">
        <v>0.15</v>
      </c>
      <c r="J119" s="4">
        <v>4165</v>
      </c>
      <c r="K119" s="4">
        <v>3600</v>
      </c>
      <c r="L119" s="4">
        <v>565</v>
      </c>
    </row>
    <row r="120" spans="1:12" x14ac:dyDescent="0.35">
      <c r="A120" t="s">
        <v>261</v>
      </c>
      <c r="B120" s="3" t="s">
        <v>262</v>
      </c>
      <c r="C120" t="s">
        <v>15</v>
      </c>
      <c r="D120" t="s">
        <v>50</v>
      </c>
      <c r="E120" t="s">
        <v>53</v>
      </c>
      <c r="F120" t="s">
        <v>27</v>
      </c>
      <c r="G120">
        <v>2</v>
      </c>
      <c r="H120" s="4">
        <v>38500</v>
      </c>
      <c r="I120" s="5">
        <v>0.15</v>
      </c>
      <c r="J120" s="4">
        <v>65450</v>
      </c>
      <c r="K120" s="4">
        <v>62000</v>
      </c>
      <c r="L120" s="4">
        <v>3450</v>
      </c>
    </row>
    <row r="121" spans="1:12" x14ac:dyDescent="0.35">
      <c r="A121" t="s">
        <v>263</v>
      </c>
      <c r="B121" s="3" t="s">
        <v>264</v>
      </c>
      <c r="C121" t="s">
        <v>11</v>
      </c>
      <c r="D121" t="s">
        <v>59</v>
      </c>
      <c r="E121" t="s">
        <v>51</v>
      </c>
      <c r="F121" t="s">
        <v>31</v>
      </c>
      <c r="G121">
        <v>1</v>
      </c>
      <c r="H121" s="4">
        <v>4900</v>
      </c>
      <c r="I121" s="5">
        <v>0.15</v>
      </c>
      <c r="J121" s="4">
        <v>4165</v>
      </c>
      <c r="K121" s="4">
        <v>3600</v>
      </c>
      <c r="L121" s="4">
        <v>565</v>
      </c>
    </row>
    <row r="122" spans="1:12" x14ac:dyDescent="0.35">
      <c r="A122" t="s">
        <v>265</v>
      </c>
      <c r="B122" s="3" t="s">
        <v>266</v>
      </c>
      <c r="C122" t="s">
        <v>15</v>
      </c>
      <c r="D122" t="s">
        <v>43</v>
      </c>
      <c r="E122" t="s">
        <v>66</v>
      </c>
      <c r="F122" t="s">
        <v>32</v>
      </c>
      <c r="G122">
        <v>1</v>
      </c>
      <c r="H122" s="4">
        <v>650</v>
      </c>
      <c r="I122" s="5">
        <v>0.05</v>
      </c>
      <c r="J122" s="4">
        <v>617.5</v>
      </c>
      <c r="K122" s="4">
        <v>390</v>
      </c>
      <c r="L122" s="4">
        <v>227.5</v>
      </c>
    </row>
    <row r="123" spans="1:12" x14ac:dyDescent="0.35">
      <c r="A123" t="s">
        <v>267</v>
      </c>
      <c r="B123" s="3" t="s">
        <v>268</v>
      </c>
      <c r="C123" t="s">
        <v>19</v>
      </c>
      <c r="D123" t="s">
        <v>43</v>
      </c>
      <c r="E123" t="s">
        <v>66</v>
      </c>
      <c r="F123" t="s">
        <v>32</v>
      </c>
      <c r="G123">
        <v>1</v>
      </c>
      <c r="H123" s="4">
        <v>650</v>
      </c>
      <c r="I123" s="5">
        <v>0</v>
      </c>
      <c r="J123" s="4">
        <v>650</v>
      </c>
      <c r="K123" s="4">
        <v>390</v>
      </c>
      <c r="L123" s="4">
        <v>260</v>
      </c>
    </row>
    <row r="124" spans="1:12" x14ac:dyDescent="0.35">
      <c r="A124" t="s">
        <v>269</v>
      </c>
      <c r="B124" s="3" t="s">
        <v>270</v>
      </c>
      <c r="C124" t="s">
        <v>17</v>
      </c>
      <c r="D124" t="s">
        <v>50</v>
      </c>
      <c r="E124" t="s">
        <v>120</v>
      </c>
      <c r="F124" t="s">
        <v>31</v>
      </c>
      <c r="G124">
        <v>3</v>
      </c>
      <c r="H124" s="4">
        <v>6200</v>
      </c>
      <c r="I124" s="5">
        <v>0</v>
      </c>
      <c r="J124" s="4">
        <v>18600</v>
      </c>
      <c r="K124" s="4">
        <v>14100</v>
      </c>
      <c r="L124" s="4">
        <v>4500</v>
      </c>
    </row>
    <row r="125" spans="1:12" x14ac:dyDescent="0.35">
      <c r="A125" t="s">
        <v>271</v>
      </c>
      <c r="B125" s="3" t="s">
        <v>272</v>
      </c>
      <c r="C125" t="s">
        <v>15</v>
      </c>
      <c r="D125" t="s">
        <v>50</v>
      </c>
      <c r="E125" t="s">
        <v>66</v>
      </c>
      <c r="F125" t="s">
        <v>32</v>
      </c>
      <c r="G125">
        <v>1</v>
      </c>
      <c r="H125" s="4">
        <v>650</v>
      </c>
      <c r="I125" s="5">
        <v>0.05</v>
      </c>
      <c r="J125" s="4">
        <v>617.5</v>
      </c>
      <c r="K125" s="4">
        <v>390</v>
      </c>
      <c r="L125" s="4">
        <v>227.5</v>
      </c>
    </row>
    <row r="126" spans="1:12" x14ac:dyDescent="0.35">
      <c r="A126" t="s">
        <v>273</v>
      </c>
      <c r="B126" s="3" t="s">
        <v>274</v>
      </c>
      <c r="C126" t="s">
        <v>15</v>
      </c>
      <c r="D126" t="s">
        <v>50</v>
      </c>
      <c r="E126" t="s">
        <v>53</v>
      </c>
      <c r="F126" t="s">
        <v>27</v>
      </c>
      <c r="G126">
        <v>2</v>
      </c>
      <c r="H126" s="4">
        <v>38500</v>
      </c>
      <c r="I126" s="5">
        <v>0.15</v>
      </c>
      <c r="J126" s="4">
        <v>65450</v>
      </c>
      <c r="K126" s="4">
        <v>62000</v>
      </c>
      <c r="L126" s="4">
        <v>3450</v>
      </c>
    </row>
    <row r="127" spans="1:12" x14ac:dyDescent="0.35">
      <c r="A127" t="s">
        <v>275</v>
      </c>
      <c r="B127" s="3" t="s">
        <v>276</v>
      </c>
      <c r="C127" t="s">
        <v>15</v>
      </c>
      <c r="D127" t="s">
        <v>43</v>
      </c>
      <c r="E127" t="s">
        <v>51</v>
      </c>
      <c r="F127" t="s">
        <v>31</v>
      </c>
      <c r="G127">
        <v>1</v>
      </c>
      <c r="H127" s="4">
        <v>4900</v>
      </c>
      <c r="I127" s="5">
        <v>0</v>
      </c>
      <c r="J127" s="4">
        <v>4900</v>
      </c>
      <c r="K127" s="4">
        <v>3600</v>
      </c>
      <c r="L127" s="4">
        <v>1300</v>
      </c>
    </row>
    <row r="128" spans="1:12" x14ac:dyDescent="0.35">
      <c r="A128" t="s">
        <v>277</v>
      </c>
      <c r="B128" s="3" t="s">
        <v>278</v>
      </c>
      <c r="C128" t="s">
        <v>15</v>
      </c>
      <c r="D128" t="s">
        <v>59</v>
      </c>
      <c r="E128" t="s">
        <v>73</v>
      </c>
      <c r="F128" t="s">
        <v>32</v>
      </c>
      <c r="G128">
        <v>1</v>
      </c>
      <c r="H128" s="4">
        <v>1600</v>
      </c>
      <c r="I128" s="5">
        <v>0</v>
      </c>
      <c r="J128" s="4">
        <v>1600</v>
      </c>
      <c r="K128" s="4">
        <v>980</v>
      </c>
      <c r="L128" s="4">
        <v>620</v>
      </c>
    </row>
    <row r="129" spans="1:12" x14ac:dyDescent="0.35">
      <c r="A129" t="s">
        <v>279</v>
      </c>
      <c r="B129" s="3" t="s">
        <v>280</v>
      </c>
      <c r="C129" t="s">
        <v>15</v>
      </c>
      <c r="D129" t="s">
        <v>43</v>
      </c>
      <c r="E129" t="s">
        <v>111</v>
      </c>
      <c r="F129" t="s">
        <v>29</v>
      </c>
      <c r="G129">
        <v>1</v>
      </c>
      <c r="H129" s="4">
        <v>9800</v>
      </c>
      <c r="I129" s="5">
        <v>0</v>
      </c>
      <c r="J129" s="4">
        <v>9800</v>
      </c>
      <c r="K129" s="4">
        <v>7400</v>
      </c>
      <c r="L129" s="4">
        <v>2400</v>
      </c>
    </row>
    <row r="130" spans="1:12" x14ac:dyDescent="0.35">
      <c r="A130" t="s">
        <v>281</v>
      </c>
      <c r="B130" s="3" t="s">
        <v>280</v>
      </c>
      <c r="C130" t="s">
        <v>17</v>
      </c>
      <c r="D130" t="s">
        <v>43</v>
      </c>
      <c r="E130" t="s">
        <v>60</v>
      </c>
      <c r="F130" t="s">
        <v>27</v>
      </c>
      <c r="G130">
        <v>3</v>
      </c>
      <c r="H130" s="4">
        <v>58000</v>
      </c>
      <c r="I130" s="5">
        <v>0</v>
      </c>
      <c r="J130" s="4">
        <v>174000</v>
      </c>
      <c r="K130" s="4">
        <v>139500</v>
      </c>
      <c r="L130" s="4">
        <v>34500</v>
      </c>
    </row>
    <row r="131" spans="1:12" x14ac:dyDescent="0.35">
      <c r="A131" t="s">
        <v>282</v>
      </c>
      <c r="B131" s="3" t="s">
        <v>283</v>
      </c>
      <c r="C131" t="s">
        <v>15</v>
      </c>
      <c r="D131" t="s">
        <v>59</v>
      </c>
      <c r="E131" t="s">
        <v>79</v>
      </c>
      <c r="F131" t="s">
        <v>32</v>
      </c>
      <c r="G131">
        <v>2</v>
      </c>
      <c r="H131" s="4">
        <v>2100</v>
      </c>
      <c r="I131" s="5">
        <v>0</v>
      </c>
      <c r="J131" s="4">
        <v>4200</v>
      </c>
      <c r="K131" s="4">
        <v>2900</v>
      </c>
      <c r="L131" s="4">
        <v>1300</v>
      </c>
    </row>
    <row r="132" spans="1:12" x14ac:dyDescent="0.35">
      <c r="A132" t="s">
        <v>284</v>
      </c>
      <c r="B132" s="3" t="s">
        <v>285</v>
      </c>
      <c r="C132" t="s">
        <v>13</v>
      </c>
      <c r="D132" t="s">
        <v>59</v>
      </c>
      <c r="E132" t="s">
        <v>53</v>
      </c>
      <c r="F132" t="s">
        <v>27</v>
      </c>
      <c r="G132">
        <v>2</v>
      </c>
      <c r="H132" s="4">
        <v>38500</v>
      </c>
      <c r="I132" s="5">
        <v>0.1</v>
      </c>
      <c r="J132" s="4">
        <v>69300</v>
      </c>
      <c r="K132" s="4">
        <v>62000</v>
      </c>
      <c r="L132" s="4">
        <v>7300</v>
      </c>
    </row>
    <row r="133" spans="1:12" x14ac:dyDescent="0.35">
      <c r="A133" t="s">
        <v>286</v>
      </c>
      <c r="B133" s="3" t="s">
        <v>285</v>
      </c>
      <c r="C133" t="s">
        <v>11</v>
      </c>
      <c r="D133" t="s">
        <v>59</v>
      </c>
      <c r="E133" t="s">
        <v>60</v>
      </c>
      <c r="F133" t="s">
        <v>27</v>
      </c>
      <c r="G133">
        <v>2</v>
      </c>
      <c r="H133" s="4">
        <v>58000</v>
      </c>
      <c r="I133" s="5">
        <v>0.05</v>
      </c>
      <c r="J133" s="4">
        <v>110200</v>
      </c>
      <c r="K133" s="4">
        <v>93000</v>
      </c>
      <c r="L133" s="4">
        <v>17200</v>
      </c>
    </row>
    <row r="134" spans="1:12" x14ac:dyDescent="0.35">
      <c r="A134" t="s">
        <v>287</v>
      </c>
      <c r="B134" s="3" t="s">
        <v>288</v>
      </c>
      <c r="C134" t="s">
        <v>11</v>
      </c>
      <c r="D134" t="s">
        <v>59</v>
      </c>
      <c r="E134" t="s">
        <v>51</v>
      </c>
      <c r="F134" t="s">
        <v>31</v>
      </c>
      <c r="G134">
        <v>3</v>
      </c>
      <c r="H134" s="4">
        <v>4900</v>
      </c>
      <c r="I134" s="5">
        <v>0.1</v>
      </c>
      <c r="J134" s="4">
        <v>13230</v>
      </c>
      <c r="K134" s="4">
        <v>10800</v>
      </c>
      <c r="L134" s="4">
        <v>2430</v>
      </c>
    </row>
    <row r="135" spans="1:12" x14ac:dyDescent="0.35">
      <c r="A135" t="s">
        <v>289</v>
      </c>
      <c r="B135" s="3" t="s">
        <v>290</v>
      </c>
      <c r="C135" t="s">
        <v>13</v>
      </c>
      <c r="D135" t="s">
        <v>59</v>
      </c>
      <c r="E135" t="s">
        <v>44</v>
      </c>
      <c r="F135" t="s">
        <v>29</v>
      </c>
      <c r="G135">
        <v>2</v>
      </c>
      <c r="H135" s="4">
        <v>14500</v>
      </c>
      <c r="I135" s="5">
        <v>0</v>
      </c>
      <c r="J135" s="4">
        <v>29000</v>
      </c>
      <c r="K135" s="4">
        <v>22400</v>
      </c>
      <c r="L135" s="4">
        <v>6600</v>
      </c>
    </row>
    <row r="136" spans="1:12" x14ac:dyDescent="0.35">
      <c r="A136" t="s">
        <v>291</v>
      </c>
      <c r="B136" s="3" t="s">
        <v>292</v>
      </c>
      <c r="C136" t="s">
        <v>13</v>
      </c>
      <c r="D136" t="s">
        <v>59</v>
      </c>
      <c r="E136" t="s">
        <v>120</v>
      </c>
      <c r="F136" t="s">
        <v>31</v>
      </c>
      <c r="G136">
        <v>1</v>
      </c>
      <c r="H136" s="4">
        <v>6200</v>
      </c>
      <c r="I136" s="5">
        <v>0</v>
      </c>
      <c r="J136" s="4">
        <v>6200</v>
      </c>
      <c r="K136" s="4">
        <v>4700</v>
      </c>
      <c r="L136" s="4">
        <v>1500</v>
      </c>
    </row>
    <row r="137" spans="1:12" x14ac:dyDescent="0.35">
      <c r="A137" t="s">
        <v>293</v>
      </c>
      <c r="B137" s="3" t="s">
        <v>294</v>
      </c>
      <c r="C137" t="s">
        <v>11</v>
      </c>
      <c r="D137" t="s">
        <v>43</v>
      </c>
      <c r="E137" t="s">
        <v>79</v>
      </c>
      <c r="F137" t="s">
        <v>32</v>
      </c>
      <c r="G137">
        <v>1</v>
      </c>
      <c r="H137" s="4">
        <v>2100</v>
      </c>
      <c r="I137" s="5">
        <v>0.05</v>
      </c>
      <c r="J137" s="4">
        <v>1995</v>
      </c>
      <c r="K137" s="4">
        <v>1450</v>
      </c>
      <c r="L137" s="4">
        <v>545</v>
      </c>
    </row>
    <row r="138" spans="1:12" x14ac:dyDescent="0.35">
      <c r="A138" t="s">
        <v>295</v>
      </c>
      <c r="B138" s="3" t="s">
        <v>296</v>
      </c>
      <c r="C138" t="s">
        <v>11</v>
      </c>
      <c r="D138" t="s">
        <v>43</v>
      </c>
      <c r="E138" t="s">
        <v>111</v>
      </c>
      <c r="F138" t="s">
        <v>29</v>
      </c>
      <c r="G138">
        <v>4</v>
      </c>
      <c r="H138" s="4">
        <v>9800</v>
      </c>
      <c r="I138" s="5">
        <v>0.15</v>
      </c>
      <c r="J138" s="4">
        <v>33320</v>
      </c>
      <c r="K138" s="4">
        <v>29600</v>
      </c>
      <c r="L138" s="4">
        <v>3720</v>
      </c>
    </row>
    <row r="139" spans="1:12" x14ac:dyDescent="0.35">
      <c r="A139" t="s">
        <v>297</v>
      </c>
      <c r="B139" s="3" t="s">
        <v>298</v>
      </c>
      <c r="C139" t="s">
        <v>15</v>
      </c>
      <c r="D139" t="s">
        <v>43</v>
      </c>
      <c r="E139" t="s">
        <v>56</v>
      </c>
      <c r="F139" t="s">
        <v>32</v>
      </c>
      <c r="G139">
        <v>4</v>
      </c>
      <c r="H139" s="4">
        <v>950</v>
      </c>
      <c r="I139" s="5">
        <v>0.1</v>
      </c>
      <c r="J139" s="4">
        <v>3420</v>
      </c>
      <c r="K139" s="4">
        <v>2160</v>
      </c>
      <c r="L139" s="4">
        <v>1260</v>
      </c>
    </row>
    <row r="140" spans="1:12" x14ac:dyDescent="0.35">
      <c r="A140" t="s">
        <v>299</v>
      </c>
      <c r="B140" s="3" t="s">
        <v>300</v>
      </c>
      <c r="C140" t="s">
        <v>19</v>
      </c>
      <c r="D140" t="s">
        <v>50</v>
      </c>
      <c r="E140" t="s">
        <v>79</v>
      </c>
      <c r="F140" t="s">
        <v>32</v>
      </c>
      <c r="G140">
        <v>1</v>
      </c>
      <c r="H140" s="4">
        <v>2100</v>
      </c>
      <c r="I140" s="5">
        <v>0</v>
      </c>
      <c r="J140" s="4">
        <v>2100</v>
      </c>
      <c r="K140" s="4">
        <v>1450</v>
      </c>
      <c r="L140" s="4">
        <v>650</v>
      </c>
    </row>
    <row r="141" spans="1:12" x14ac:dyDescent="0.35">
      <c r="A141" t="s">
        <v>301</v>
      </c>
      <c r="B141" s="3" t="s">
        <v>302</v>
      </c>
      <c r="C141" t="s">
        <v>11</v>
      </c>
      <c r="D141" t="s">
        <v>50</v>
      </c>
      <c r="E141" t="s">
        <v>70</v>
      </c>
      <c r="F141" t="s">
        <v>32</v>
      </c>
      <c r="G141">
        <v>3</v>
      </c>
      <c r="H141" s="4">
        <v>1800</v>
      </c>
      <c r="I141" s="5">
        <v>0.1</v>
      </c>
      <c r="J141" s="4">
        <v>4860</v>
      </c>
      <c r="K141" s="4">
        <v>3450</v>
      </c>
      <c r="L141" s="4">
        <v>1410</v>
      </c>
    </row>
    <row r="142" spans="1:12" x14ac:dyDescent="0.35">
      <c r="A142" t="s">
        <v>303</v>
      </c>
      <c r="B142" s="3" t="s">
        <v>304</v>
      </c>
      <c r="C142" t="s">
        <v>19</v>
      </c>
      <c r="D142" t="s">
        <v>59</v>
      </c>
      <c r="E142" t="s">
        <v>120</v>
      </c>
      <c r="F142" t="s">
        <v>31</v>
      </c>
      <c r="G142">
        <v>2</v>
      </c>
      <c r="H142" s="4">
        <v>6200</v>
      </c>
      <c r="I142" s="5">
        <v>0</v>
      </c>
      <c r="J142" s="4">
        <v>12400</v>
      </c>
      <c r="K142" s="4">
        <v>9400</v>
      </c>
      <c r="L142" s="4">
        <v>3000</v>
      </c>
    </row>
    <row r="143" spans="1:12" x14ac:dyDescent="0.35">
      <c r="A143" t="s">
        <v>305</v>
      </c>
      <c r="B143" s="3" t="s">
        <v>306</v>
      </c>
      <c r="C143" t="s">
        <v>19</v>
      </c>
      <c r="D143" t="s">
        <v>43</v>
      </c>
      <c r="E143" t="s">
        <v>120</v>
      </c>
      <c r="F143" t="s">
        <v>31</v>
      </c>
      <c r="G143">
        <v>4</v>
      </c>
      <c r="H143" s="4">
        <v>6200</v>
      </c>
      <c r="I143" s="5">
        <v>0</v>
      </c>
      <c r="J143" s="4">
        <v>24800</v>
      </c>
      <c r="K143" s="4">
        <v>18800</v>
      </c>
      <c r="L143" s="4">
        <v>6000</v>
      </c>
    </row>
    <row r="144" spans="1:12" x14ac:dyDescent="0.35">
      <c r="A144" t="s">
        <v>307</v>
      </c>
      <c r="B144" s="3" t="s">
        <v>306</v>
      </c>
      <c r="C144" t="s">
        <v>15</v>
      </c>
      <c r="D144" t="s">
        <v>59</v>
      </c>
      <c r="E144" t="s">
        <v>53</v>
      </c>
      <c r="F144" t="s">
        <v>27</v>
      </c>
      <c r="G144">
        <v>1</v>
      </c>
      <c r="H144" s="4">
        <v>38500</v>
      </c>
      <c r="I144" s="5">
        <v>0</v>
      </c>
      <c r="J144" s="4">
        <v>38500</v>
      </c>
      <c r="K144" s="4">
        <v>31000</v>
      </c>
      <c r="L144" s="4">
        <v>7500</v>
      </c>
    </row>
    <row r="145" spans="1:12" x14ac:dyDescent="0.35">
      <c r="A145" t="s">
        <v>308</v>
      </c>
      <c r="B145" s="3" t="s">
        <v>306</v>
      </c>
      <c r="C145" t="s">
        <v>11</v>
      </c>
      <c r="D145" t="s">
        <v>43</v>
      </c>
      <c r="E145" t="s">
        <v>47</v>
      </c>
      <c r="F145" t="s">
        <v>32</v>
      </c>
      <c r="G145">
        <v>3</v>
      </c>
      <c r="H145" s="4">
        <v>1450</v>
      </c>
      <c r="I145" s="5">
        <v>0</v>
      </c>
      <c r="J145" s="4">
        <v>4350</v>
      </c>
      <c r="K145" s="4">
        <v>2700</v>
      </c>
      <c r="L145" s="4">
        <v>1650</v>
      </c>
    </row>
    <row r="146" spans="1:12" x14ac:dyDescent="0.35">
      <c r="A146" t="s">
        <v>309</v>
      </c>
      <c r="B146" s="3" t="s">
        <v>310</v>
      </c>
      <c r="C146" t="s">
        <v>15</v>
      </c>
      <c r="D146" t="s">
        <v>43</v>
      </c>
      <c r="E146" t="s">
        <v>47</v>
      </c>
      <c r="F146" t="s">
        <v>32</v>
      </c>
      <c r="G146">
        <v>1</v>
      </c>
      <c r="H146" s="4">
        <v>1450</v>
      </c>
      <c r="I146" s="5">
        <v>0.1</v>
      </c>
      <c r="J146" s="4">
        <v>1305</v>
      </c>
      <c r="K146" s="4">
        <v>900</v>
      </c>
      <c r="L146" s="4">
        <v>405</v>
      </c>
    </row>
    <row r="147" spans="1:12" x14ac:dyDescent="0.35">
      <c r="A147" t="s">
        <v>311</v>
      </c>
      <c r="B147" s="3" t="s">
        <v>312</v>
      </c>
      <c r="C147" t="s">
        <v>11</v>
      </c>
      <c r="D147" t="s">
        <v>59</v>
      </c>
      <c r="E147" t="s">
        <v>56</v>
      </c>
      <c r="F147" t="s">
        <v>32</v>
      </c>
      <c r="G147">
        <v>1</v>
      </c>
      <c r="H147" s="4">
        <v>950</v>
      </c>
      <c r="I147" s="5">
        <v>0.05</v>
      </c>
      <c r="J147" s="4">
        <v>902.5</v>
      </c>
      <c r="K147" s="4">
        <v>540</v>
      </c>
      <c r="L147" s="4">
        <v>362.5</v>
      </c>
    </row>
    <row r="148" spans="1:12" x14ac:dyDescent="0.35">
      <c r="A148" t="s">
        <v>313</v>
      </c>
      <c r="B148" s="3" t="s">
        <v>312</v>
      </c>
      <c r="C148" t="s">
        <v>17</v>
      </c>
      <c r="D148" t="s">
        <v>59</v>
      </c>
      <c r="E148" t="s">
        <v>111</v>
      </c>
      <c r="F148" t="s">
        <v>29</v>
      </c>
      <c r="G148">
        <v>2</v>
      </c>
      <c r="H148" s="4">
        <v>9800</v>
      </c>
      <c r="I148" s="5">
        <v>0.1</v>
      </c>
      <c r="J148" s="4">
        <v>17640</v>
      </c>
      <c r="K148" s="4">
        <v>14800</v>
      </c>
      <c r="L148" s="4">
        <v>2840</v>
      </c>
    </row>
    <row r="149" spans="1:12" x14ac:dyDescent="0.35">
      <c r="A149" t="s">
        <v>314</v>
      </c>
      <c r="B149" s="3" t="s">
        <v>312</v>
      </c>
      <c r="C149" t="s">
        <v>13</v>
      </c>
      <c r="D149" t="s">
        <v>43</v>
      </c>
      <c r="E149" t="s">
        <v>51</v>
      </c>
      <c r="F149" t="s">
        <v>31</v>
      </c>
      <c r="G149">
        <v>3</v>
      </c>
      <c r="H149" s="4">
        <v>4900</v>
      </c>
      <c r="I149" s="5">
        <v>0</v>
      </c>
      <c r="J149" s="4">
        <v>14700</v>
      </c>
      <c r="K149" s="4">
        <v>10800</v>
      </c>
      <c r="L149" s="4">
        <v>3900</v>
      </c>
    </row>
    <row r="150" spans="1:12" x14ac:dyDescent="0.35">
      <c r="A150" t="s">
        <v>315</v>
      </c>
      <c r="B150" s="3" t="s">
        <v>312</v>
      </c>
      <c r="C150" t="s">
        <v>11</v>
      </c>
      <c r="D150" t="s">
        <v>59</v>
      </c>
      <c r="E150" t="s">
        <v>47</v>
      </c>
      <c r="F150" t="s">
        <v>32</v>
      </c>
      <c r="G150">
        <v>1</v>
      </c>
      <c r="H150" s="4">
        <v>1450</v>
      </c>
      <c r="I150" s="5">
        <v>0.05</v>
      </c>
      <c r="J150" s="4">
        <v>1377.5</v>
      </c>
      <c r="K150" s="4">
        <v>900</v>
      </c>
      <c r="L150" s="4">
        <v>477.5</v>
      </c>
    </row>
    <row r="151" spans="1:12" x14ac:dyDescent="0.35">
      <c r="A151" t="s">
        <v>316</v>
      </c>
      <c r="B151" s="3" t="s">
        <v>317</v>
      </c>
      <c r="C151" t="s">
        <v>13</v>
      </c>
      <c r="D151" t="s">
        <v>59</v>
      </c>
      <c r="E151" t="s">
        <v>60</v>
      </c>
      <c r="F151" t="s">
        <v>27</v>
      </c>
      <c r="G151">
        <v>4</v>
      </c>
      <c r="H151" s="4">
        <v>58000</v>
      </c>
      <c r="I151" s="5">
        <v>0.15</v>
      </c>
      <c r="J151" s="4">
        <v>197200</v>
      </c>
      <c r="K151" s="4">
        <v>186000</v>
      </c>
      <c r="L151" s="4">
        <v>11200</v>
      </c>
    </row>
    <row r="152" spans="1:12" x14ac:dyDescent="0.35">
      <c r="A152" t="s">
        <v>318</v>
      </c>
      <c r="B152" s="3" t="s">
        <v>319</v>
      </c>
      <c r="C152" t="s">
        <v>15</v>
      </c>
      <c r="D152" t="s">
        <v>43</v>
      </c>
      <c r="E152" t="s">
        <v>70</v>
      </c>
      <c r="F152" t="s">
        <v>32</v>
      </c>
      <c r="G152">
        <v>1</v>
      </c>
      <c r="H152" s="4">
        <v>1800</v>
      </c>
      <c r="I152" s="5">
        <v>0.1</v>
      </c>
      <c r="J152" s="4">
        <v>1620</v>
      </c>
      <c r="K152" s="4">
        <v>1150</v>
      </c>
      <c r="L152" s="4">
        <v>470</v>
      </c>
    </row>
    <row r="153" spans="1:12" x14ac:dyDescent="0.35">
      <c r="A153" t="s">
        <v>320</v>
      </c>
      <c r="B153" s="3" t="s">
        <v>321</v>
      </c>
      <c r="C153" t="s">
        <v>13</v>
      </c>
      <c r="D153" t="s">
        <v>59</v>
      </c>
      <c r="E153" t="s">
        <v>51</v>
      </c>
      <c r="F153" t="s">
        <v>31</v>
      </c>
      <c r="G153">
        <v>5</v>
      </c>
      <c r="H153" s="4">
        <v>4900</v>
      </c>
      <c r="I153" s="5">
        <v>0.1</v>
      </c>
      <c r="J153" s="4">
        <v>22050</v>
      </c>
      <c r="K153" s="4">
        <v>18000</v>
      </c>
      <c r="L153" s="4">
        <v>4050</v>
      </c>
    </row>
    <row r="154" spans="1:12" x14ac:dyDescent="0.35">
      <c r="A154" t="s">
        <v>322</v>
      </c>
      <c r="B154" s="3" t="s">
        <v>323</v>
      </c>
      <c r="C154" t="s">
        <v>19</v>
      </c>
      <c r="D154" t="s">
        <v>59</v>
      </c>
      <c r="E154" t="s">
        <v>51</v>
      </c>
      <c r="F154" t="s">
        <v>31</v>
      </c>
      <c r="G154">
        <v>1</v>
      </c>
      <c r="H154" s="4">
        <v>4900</v>
      </c>
      <c r="I154" s="5">
        <v>0.05</v>
      </c>
      <c r="J154" s="4">
        <v>4655</v>
      </c>
      <c r="K154" s="4">
        <v>3600</v>
      </c>
      <c r="L154" s="4">
        <v>1055</v>
      </c>
    </row>
    <row r="155" spans="1:12" x14ac:dyDescent="0.35">
      <c r="A155" t="s">
        <v>324</v>
      </c>
      <c r="B155" s="3" t="s">
        <v>325</v>
      </c>
      <c r="C155" t="s">
        <v>15</v>
      </c>
      <c r="D155" t="s">
        <v>50</v>
      </c>
      <c r="E155" t="s">
        <v>60</v>
      </c>
      <c r="F155" t="s">
        <v>27</v>
      </c>
      <c r="G155">
        <v>1</v>
      </c>
      <c r="H155" s="4">
        <v>58000</v>
      </c>
      <c r="I155" s="5">
        <v>0</v>
      </c>
      <c r="J155" s="4">
        <v>58000</v>
      </c>
      <c r="K155" s="4">
        <v>46500</v>
      </c>
      <c r="L155" s="4">
        <v>11500</v>
      </c>
    </row>
    <row r="156" spans="1:12" x14ac:dyDescent="0.35">
      <c r="A156" t="s">
        <v>326</v>
      </c>
      <c r="B156" s="3" t="s">
        <v>327</v>
      </c>
      <c r="C156" t="s">
        <v>13</v>
      </c>
      <c r="D156" t="s">
        <v>59</v>
      </c>
      <c r="E156" t="s">
        <v>66</v>
      </c>
      <c r="F156" t="s">
        <v>32</v>
      </c>
      <c r="G156">
        <v>2</v>
      </c>
      <c r="H156" s="4">
        <v>650</v>
      </c>
      <c r="I156" s="5">
        <v>0</v>
      </c>
      <c r="J156" s="4">
        <v>1300</v>
      </c>
      <c r="K156" s="4">
        <v>780</v>
      </c>
      <c r="L156" s="4">
        <v>520</v>
      </c>
    </row>
    <row r="157" spans="1:12" x14ac:dyDescent="0.35">
      <c r="A157" t="s">
        <v>328</v>
      </c>
      <c r="B157" s="3" t="s">
        <v>329</v>
      </c>
      <c r="C157" t="s">
        <v>11</v>
      </c>
      <c r="D157" t="s">
        <v>43</v>
      </c>
      <c r="E157" t="s">
        <v>53</v>
      </c>
      <c r="F157" t="s">
        <v>27</v>
      </c>
      <c r="G157">
        <v>5</v>
      </c>
      <c r="H157" s="4">
        <v>38500</v>
      </c>
      <c r="I157" s="5">
        <v>0.15</v>
      </c>
      <c r="J157" s="4">
        <v>163625</v>
      </c>
      <c r="K157" s="4">
        <v>155000</v>
      </c>
      <c r="L157" s="4">
        <v>8625</v>
      </c>
    </row>
    <row r="158" spans="1:12" x14ac:dyDescent="0.35">
      <c r="A158" t="s">
        <v>330</v>
      </c>
      <c r="B158" s="3" t="s">
        <v>331</v>
      </c>
      <c r="C158" t="s">
        <v>19</v>
      </c>
      <c r="D158" t="s">
        <v>43</v>
      </c>
      <c r="E158" t="s">
        <v>70</v>
      </c>
      <c r="F158" t="s">
        <v>32</v>
      </c>
      <c r="G158">
        <v>1</v>
      </c>
      <c r="H158" s="4">
        <v>1800</v>
      </c>
      <c r="I158" s="5">
        <v>0</v>
      </c>
      <c r="J158" s="4">
        <v>1800</v>
      </c>
      <c r="K158" s="4">
        <v>1150</v>
      </c>
      <c r="L158" s="4">
        <v>650</v>
      </c>
    </row>
    <row r="159" spans="1:12" x14ac:dyDescent="0.35">
      <c r="A159" t="s">
        <v>332</v>
      </c>
      <c r="B159" s="3" t="s">
        <v>333</v>
      </c>
      <c r="C159" t="s">
        <v>15</v>
      </c>
      <c r="D159" t="s">
        <v>50</v>
      </c>
      <c r="E159" t="s">
        <v>120</v>
      </c>
      <c r="F159" t="s">
        <v>31</v>
      </c>
      <c r="G159">
        <v>1</v>
      </c>
      <c r="H159" s="4">
        <v>6200</v>
      </c>
      <c r="I159" s="5">
        <v>0.1</v>
      </c>
      <c r="J159" s="4">
        <v>5580</v>
      </c>
      <c r="K159" s="4">
        <v>4700</v>
      </c>
      <c r="L159" s="4">
        <v>880</v>
      </c>
    </row>
    <row r="160" spans="1:12" x14ac:dyDescent="0.35">
      <c r="A160" t="s">
        <v>334</v>
      </c>
      <c r="B160" s="3" t="s">
        <v>335</v>
      </c>
      <c r="C160" t="s">
        <v>19</v>
      </c>
      <c r="D160" t="s">
        <v>43</v>
      </c>
      <c r="E160" t="s">
        <v>111</v>
      </c>
      <c r="F160" t="s">
        <v>29</v>
      </c>
      <c r="G160">
        <v>1</v>
      </c>
      <c r="H160" s="4">
        <v>9800</v>
      </c>
      <c r="I160" s="5">
        <v>0.1</v>
      </c>
      <c r="J160" s="4">
        <v>8820</v>
      </c>
      <c r="K160" s="4">
        <v>7400</v>
      </c>
      <c r="L160" s="4">
        <v>1420</v>
      </c>
    </row>
    <row r="161" spans="1:12" x14ac:dyDescent="0.35">
      <c r="A161" t="s">
        <v>336</v>
      </c>
      <c r="B161" s="3" t="s">
        <v>337</v>
      </c>
      <c r="C161" t="s">
        <v>19</v>
      </c>
      <c r="D161" t="s">
        <v>59</v>
      </c>
      <c r="E161" t="s">
        <v>53</v>
      </c>
      <c r="F161" t="s">
        <v>27</v>
      </c>
      <c r="G161">
        <v>2</v>
      </c>
      <c r="H161" s="4">
        <v>38500</v>
      </c>
      <c r="I161" s="5">
        <v>0</v>
      </c>
      <c r="J161" s="4">
        <v>77000</v>
      </c>
      <c r="K161" s="4">
        <v>62000</v>
      </c>
      <c r="L161" s="4">
        <v>15000</v>
      </c>
    </row>
    <row r="162" spans="1:12" x14ac:dyDescent="0.35">
      <c r="A162" t="s">
        <v>338</v>
      </c>
      <c r="B162" s="3" t="s">
        <v>339</v>
      </c>
      <c r="C162" t="s">
        <v>13</v>
      </c>
      <c r="D162" t="s">
        <v>43</v>
      </c>
      <c r="E162" t="s">
        <v>111</v>
      </c>
      <c r="F162" t="s">
        <v>29</v>
      </c>
      <c r="G162">
        <v>1</v>
      </c>
      <c r="H162" s="4">
        <v>9800</v>
      </c>
      <c r="I162" s="5">
        <v>0</v>
      </c>
      <c r="J162" s="4">
        <v>9800</v>
      </c>
      <c r="K162" s="4">
        <v>7400</v>
      </c>
      <c r="L162" s="4">
        <v>2400</v>
      </c>
    </row>
    <row r="163" spans="1:12" x14ac:dyDescent="0.35">
      <c r="A163" t="s">
        <v>340</v>
      </c>
      <c r="B163" s="3" t="s">
        <v>339</v>
      </c>
      <c r="C163" t="s">
        <v>19</v>
      </c>
      <c r="D163" t="s">
        <v>59</v>
      </c>
      <c r="E163" t="s">
        <v>120</v>
      </c>
      <c r="F163" t="s">
        <v>31</v>
      </c>
      <c r="G163">
        <v>4</v>
      </c>
      <c r="H163" s="4">
        <v>6200</v>
      </c>
      <c r="I163" s="5">
        <v>0.1</v>
      </c>
      <c r="J163" s="4">
        <v>22320</v>
      </c>
      <c r="K163" s="4">
        <v>18800</v>
      </c>
      <c r="L163" s="4">
        <v>3520</v>
      </c>
    </row>
    <row r="164" spans="1:12" x14ac:dyDescent="0.35">
      <c r="A164" t="s">
        <v>341</v>
      </c>
      <c r="B164" s="3" t="s">
        <v>342</v>
      </c>
      <c r="C164" t="s">
        <v>17</v>
      </c>
      <c r="D164" t="s">
        <v>50</v>
      </c>
      <c r="E164" t="s">
        <v>53</v>
      </c>
      <c r="F164" t="s">
        <v>27</v>
      </c>
      <c r="G164">
        <v>4</v>
      </c>
      <c r="H164" s="4">
        <v>38500</v>
      </c>
      <c r="I164" s="5">
        <v>0</v>
      </c>
      <c r="J164" s="4">
        <v>154000</v>
      </c>
      <c r="K164" s="4">
        <v>124000</v>
      </c>
      <c r="L164" s="4">
        <v>30000</v>
      </c>
    </row>
    <row r="165" spans="1:12" x14ac:dyDescent="0.35">
      <c r="A165" t="s">
        <v>343</v>
      </c>
      <c r="B165" s="3" t="s">
        <v>344</v>
      </c>
      <c r="C165" t="s">
        <v>15</v>
      </c>
      <c r="D165" t="s">
        <v>43</v>
      </c>
      <c r="E165" t="s">
        <v>111</v>
      </c>
      <c r="F165" t="s">
        <v>29</v>
      </c>
      <c r="G165">
        <v>3</v>
      </c>
      <c r="H165" s="4">
        <v>9800</v>
      </c>
      <c r="I165" s="5">
        <v>0</v>
      </c>
      <c r="J165" s="4">
        <v>29400</v>
      </c>
      <c r="K165" s="4">
        <v>22200</v>
      </c>
      <c r="L165" s="4">
        <v>7200</v>
      </c>
    </row>
    <row r="166" spans="1:12" x14ac:dyDescent="0.35">
      <c r="A166" t="s">
        <v>345</v>
      </c>
      <c r="B166" s="3" t="s">
        <v>346</v>
      </c>
      <c r="C166" t="s">
        <v>11</v>
      </c>
      <c r="D166" t="s">
        <v>59</v>
      </c>
      <c r="E166" t="s">
        <v>73</v>
      </c>
      <c r="F166" t="s">
        <v>32</v>
      </c>
      <c r="G166">
        <v>4</v>
      </c>
      <c r="H166" s="4">
        <v>1600</v>
      </c>
      <c r="I166" s="5">
        <v>0.15</v>
      </c>
      <c r="J166" s="4">
        <v>5440</v>
      </c>
      <c r="K166" s="4">
        <v>3920</v>
      </c>
      <c r="L166" s="4">
        <v>1520</v>
      </c>
    </row>
    <row r="167" spans="1:12" x14ac:dyDescent="0.35">
      <c r="A167" t="s">
        <v>347</v>
      </c>
      <c r="B167" s="3" t="s">
        <v>346</v>
      </c>
      <c r="C167" t="s">
        <v>15</v>
      </c>
      <c r="D167" t="s">
        <v>59</v>
      </c>
      <c r="E167" t="s">
        <v>51</v>
      </c>
      <c r="F167" t="s">
        <v>31</v>
      </c>
      <c r="G167">
        <v>1</v>
      </c>
      <c r="H167" s="4">
        <v>4900</v>
      </c>
      <c r="I167" s="5">
        <v>0.05</v>
      </c>
      <c r="J167" s="4">
        <v>4655</v>
      </c>
      <c r="K167" s="4">
        <v>3600</v>
      </c>
      <c r="L167" s="4">
        <v>1055</v>
      </c>
    </row>
    <row r="168" spans="1:12" x14ac:dyDescent="0.35">
      <c r="A168" t="s">
        <v>348</v>
      </c>
      <c r="B168" s="3" t="s">
        <v>349</v>
      </c>
      <c r="C168" t="s">
        <v>11</v>
      </c>
      <c r="D168" t="s">
        <v>59</v>
      </c>
      <c r="E168" t="s">
        <v>53</v>
      </c>
      <c r="F168" t="s">
        <v>27</v>
      </c>
      <c r="G168">
        <v>1</v>
      </c>
      <c r="H168" s="4">
        <v>38500</v>
      </c>
      <c r="I168" s="5">
        <v>0.05</v>
      </c>
      <c r="J168" s="4">
        <v>36575</v>
      </c>
      <c r="K168" s="4">
        <v>31000</v>
      </c>
      <c r="L168" s="4">
        <v>5575</v>
      </c>
    </row>
    <row r="169" spans="1:12" x14ac:dyDescent="0.35">
      <c r="A169" t="s">
        <v>350</v>
      </c>
      <c r="B169" s="3" t="s">
        <v>349</v>
      </c>
      <c r="C169" t="s">
        <v>13</v>
      </c>
      <c r="D169" t="s">
        <v>50</v>
      </c>
      <c r="E169" t="s">
        <v>79</v>
      </c>
      <c r="F169" t="s">
        <v>32</v>
      </c>
      <c r="G169">
        <v>1</v>
      </c>
      <c r="H169" s="4">
        <v>2100</v>
      </c>
      <c r="I169" s="5">
        <v>0</v>
      </c>
      <c r="J169" s="4">
        <v>2100</v>
      </c>
      <c r="K169" s="4">
        <v>1450</v>
      </c>
      <c r="L169" s="4">
        <v>650</v>
      </c>
    </row>
    <row r="170" spans="1:12" x14ac:dyDescent="0.35">
      <c r="A170" t="s">
        <v>351</v>
      </c>
      <c r="B170" s="3" t="s">
        <v>352</v>
      </c>
      <c r="C170" t="s">
        <v>15</v>
      </c>
      <c r="D170" t="s">
        <v>43</v>
      </c>
      <c r="E170" t="s">
        <v>56</v>
      </c>
      <c r="F170" t="s">
        <v>32</v>
      </c>
      <c r="G170">
        <v>3</v>
      </c>
      <c r="H170" s="4">
        <v>950</v>
      </c>
      <c r="I170" s="5">
        <v>0</v>
      </c>
      <c r="J170" s="4">
        <v>2850</v>
      </c>
      <c r="K170" s="4">
        <v>1620</v>
      </c>
      <c r="L170" s="4">
        <v>1230</v>
      </c>
    </row>
    <row r="171" spans="1:12" x14ac:dyDescent="0.35">
      <c r="A171" t="s">
        <v>353</v>
      </c>
      <c r="B171" s="3" t="s">
        <v>354</v>
      </c>
      <c r="C171" t="s">
        <v>11</v>
      </c>
      <c r="D171" t="s">
        <v>50</v>
      </c>
      <c r="E171" t="s">
        <v>51</v>
      </c>
      <c r="F171" t="s">
        <v>31</v>
      </c>
      <c r="G171">
        <v>2</v>
      </c>
      <c r="H171" s="4">
        <v>4900</v>
      </c>
      <c r="I171" s="5">
        <v>0.1</v>
      </c>
      <c r="J171" s="4">
        <v>8820</v>
      </c>
      <c r="K171" s="4">
        <v>7200</v>
      </c>
      <c r="L171" s="4">
        <v>1620</v>
      </c>
    </row>
    <row r="172" spans="1:12" x14ac:dyDescent="0.35">
      <c r="A172" t="s">
        <v>355</v>
      </c>
      <c r="B172" s="3" t="s">
        <v>356</v>
      </c>
      <c r="C172" t="s">
        <v>13</v>
      </c>
      <c r="D172" t="s">
        <v>43</v>
      </c>
      <c r="E172" t="s">
        <v>51</v>
      </c>
      <c r="F172" t="s">
        <v>31</v>
      </c>
      <c r="G172">
        <v>3</v>
      </c>
      <c r="H172" s="4">
        <v>4900</v>
      </c>
      <c r="I172" s="5">
        <v>0.05</v>
      </c>
      <c r="J172" s="4">
        <v>13965</v>
      </c>
      <c r="K172" s="4">
        <v>10800</v>
      </c>
      <c r="L172" s="4">
        <v>3165</v>
      </c>
    </row>
    <row r="173" spans="1:12" x14ac:dyDescent="0.35">
      <c r="A173" t="s">
        <v>357</v>
      </c>
      <c r="B173" s="3" t="s">
        <v>358</v>
      </c>
      <c r="C173" t="s">
        <v>13</v>
      </c>
      <c r="D173" t="s">
        <v>59</v>
      </c>
      <c r="E173" t="s">
        <v>120</v>
      </c>
      <c r="F173" t="s">
        <v>31</v>
      </c>
      <c r="G173">
        <v>2</v>
      </c>
      <c r="H173" s="4">
        <v>6200</v>
      </c>
      <c r="I173" s="5">
        <v>0</v>
      </c>
      <c r="J173" s="4">
        <v>12400</v>
      </c>
      <c r="K173" s="4">
        <v>9400</v>
      </c>
      <c r="L173" s="4">
        <v>3000</v>
      </c>
    </row>
    <row r="174" spans="1:12" x14ac:dyDescent="0.35">
      <c r="A174" t="s">
        <v>359</v>
      </c>
      <c r="B174" s="3" t="s">
        <v>358</v>
      </c>
      <c r="C174" t="s">
        <v>19</v>
      </c>
      <c r="D174" t="s">
        <v>59</v>
      </c>
      <c r="E174" t="s">
        <v>66</v>
      </c>
      <c r="F174" t="s">
        <v>32</v>
      </c>
      <c r="G174">
        <v>2</v>
      </c>
      <c r="H174" s="4">
        <v>650</v>
      </c>
      <c r="I174" s="5">
        <v>0</v>
      </c>
      <c r="J174" s="4">
        <v>1300</v>
      </c>
      <c r="K174" s="4">
        <v>780</v>
      </c>
      <c r="L174" s="4">
        <v>520</v>
      </c>
    </row>
    <row r="175" spans="1:12" x14ac:dyDescent="0.35">
      <c r="A175" t="s">
        <v>360</v>
      </c>
      <c r="B175" s="3" t="s">
        <v>361</v>
      </c>
      <c r="C175" t="s">
        <v>17</v>
      </c>
      <c r="D175" t="s">
        <v>43</v>
      </c>
      <c r="E175" t="s">
        <v>66</v>
      </c>
      <c r="F175" t="s">
        <v>32</v>
      </c>
      <c r="G175">
        <v>1</v>
      </c>
      <c r="H175" s="4">
        <v>650</v>
      </c>
      <c r="I175" s="5">
        <v>0.1</v>
      </c>
      <c r="J175" s="4">
        <v>585</v>
      </c>
      <c r="K175" s="4">
        <v>390</v>
      </c>
      <c r="L175" s="4">
        <v>195</v>
      </c>
    </row>
    <row r="176" spans="1:12" x14ac:dyDescent="0.35">
      <c r="A176" t="s">
        <v>362</v>
      </c>
      <c r="B176" s="3" t="s">
        <v>363</v>
      </c>
      <c r="C176" t="s">
        <v>11</v>
      </c>
      <c r="D176" t="s">
        <v>59</v>
      </c>
      <c r="E176" t="s">
        <v>66</v>
      </c>
      <c r="F176" t="s">
        <v>32</v>
      </c>
      <c r="G176">
        <v>1</v>
      </c>
      <c r="H176" s="4">
        <v>650</v>
      </c>
      <c r="I176" s="5">
        <v>0</v>
      </c>
      <c r="J176" s="4">
        <v>650</v>
      </c>
      <c r="K176" s="4">
        <v>390</v>
      </c>
      <c r="L176" s="4">
        <v>260</v>
      </c>
    </row>
    <row r="177" spans="1:12" x14ac:dyDescent="0.35">
      <c r="A177" t="s">
        <v>364</v>
      </c>
      <c r="B177" s="3" t="s">
        <v>365</v>
      </c>
      <c r="C177" t="s">
        <v>19</v>
      </c>
      <c r="D177" t="s">
        <v>43</v>
      </c>
      <c r="E177" t="s">
        <v>47</v>
      </c>
      <c r="F177" t="s">
        <v>32</v>
      </c>
      <c r="G177">
        <v>1</v>
      </c>
      <c r="H177" s="4">
        <v>1450</v>
      </c>
      <c r="I177" s="5">
        <v>0</v>
      </c>
      <c r="J177" s="4">
        <v>1450</v>
      </c>
      <c r="K177" s="4">
        <v>900</v>
      </c>
      <c r="L177" s="4">
        <v>550</v>
      </c>
    </row>
    <row r="178" spans="1:12" x14ac:dyDescent="0.35">
      <c r="A178" t="s">
        <v>366</v>
      </c>
      <c r="B178" s="3" t="s">
        <v>365</v>
      </c>
      <c r="C178" t="s">
        <v>19</v>
      </c>
      <c r="D178" t="s">
        <v>50</v>
      </c>
      <c r="E178" t="s">
        <v>47</v>
      </c>
      <c r="F178" t="s">
        <v>32</v>
      </c>
      <c r="G178">
        <v>5</v>
      </c>
      <c r="H178" s="4">
        <v>1450</v>
      </c>
      <c r="I178" s="5">
        <v>0.1</v>
      </c>
      <c r="J178" s="4">
        <v>6525</v>
      </c>
      <c r="K178" s="4">
        <v>4500</v>
      </c>
      <c r="L178" s="4">
        <v>2025</v>
      </c>
    </row>
    <row r="179" spans="1:12" x14ac:dyDescent="0.35">
      <c r="A179" t="s">
        <v>367</v>
      </c>
      <c r="B179" s="3" t="s">
        <v>368</v>
      </c>
      <c r="C179" t="s">
        <v>13</v>
      </c>
      <c r="D179" t="s">
        <v>43</v>
      </c>
      <c r="E179" t="s">
        <v>56</v>
      </c>
      <c r="F179" t="s">
        <v>32</v>
      </c>
      <c r="G179">
        <v>2</v>
      </c>
      <c r="H179" s="4">
        <v>950</v>
      </c>
      <c r="I179" s="5">
        <v>0</v>
      </c>
      <c r="J179" s="4">
        <v>1900</v>
      </c>
      <c r="K179" s="4">
        <v>1080</v>
      </c>
      <c r="L179" s="4">
        <v>820</v>
      </c>
    </row>
    <row r="180" spans="1:12" x14ac:dyDescent="0.35">
      <c r="A180" t="s">
        <v>369</v>
      </c>
      <c r="B180" s="3" t="s">
        <v>370</v>
      </c>
      <c r="C180" t="s">
        <v>11</v>
      </c>
      <c r="D180" t="s">
        <v>50</v>
      </c>
      <c r="E180" t="s">
        <v>53</v>
      </c>
      <c r="F180" t="s">
        <v>27</v>
      </c>
      <c r="G180">
        <v>2</v>
      </c>
      <c r="H180" s="4">
        <v>38500</v>
      </c>
      <c r="I180" s="5">
        <v>0.15</v>
      </c>
      <c r="J180" s="4">
        <v>65450</v>
      </c>
      <c r="K180" s="4">
        <v>62000</v>
      </c>
      <c r="L180" s="4">
        <v>3450</v>
      </c>
    </row>
    <row r="181" spans="1:12" x14ac:dyDescent="0.35">
      <c r="A181" t="s">
        <v>371</v>
      </c>
      <c r="B181" s="3" t="s">
        <v>370</v>
      </c>
      <c r="C181" t="s">
        <v>17</v>
      </c>
      <c r="D181" t="s">
        <v>50</v>
      </c>
      <c r="E181" t="s">
        <v>47</v>
      </c>
      <c r="F181" t="s">
        <v>32</v>
      </c>
      <c r="G181">
        <v>1</v>
      </c>
      <c r="H181" s="4">
        <v>1450</v>
      </c>
      <c r="I181" s="5">
        <v>0.15</v>
      </c>
      <c r="J181" s="4">
        <v>1232.5</v>
      </c>
      <c r="K181" s="4">
        <v>900</v>
      </c>
      <c r="L181" s="4">
        <v>332.5</v>
      </c>
    </row>
    <row r="182" spans="1:12" x14ac:dyDescent="0.35">
      <c r="A182" t="s">
        <v>372</v>
      </c>
      <c r="B182" s="3" t="s">
        <v>373</v>
      </c>
      <c r="C182" t="s">
        <v>11</v>
      </c>
      <c r="D182" t="s">
        <v>50</v>
      </c>
      <c r="E182" t="s">
        <v>60</v>
      </c>
      <c r="F182" t="s">
        <v>27</v>
      </c>
      <c r="G182">
        <v>1</v>
      </c>
      <c r="H182" s="4">
        <v>58000</v>
      </c>
      <c r="I182" s="5">
        <v>0.05</v>
      </c>
      <c r="J182" s="4">
        <v>55100</v>
      </c>
      <c r="K182" s="4">
        <v>46500</v>
      </c>
      <c r="L182" s="4">
        <v>8600</v>
      </c>
    </row>
    <row r="183" spans="1:12" x14ac:dyDescent="0.35">
      <c r="A183" t="s">
        <v>374</v>
      </c>
      <c r="B183" s="3" t="s">
        <v>375</v>
      </c>
      <c r="C183" t="s">
        <v>11</v>
      </c>
      <c r="D183" t="s">
        <v>43</v>
      </c>
      <c r="E183" t="s">
        <v>47</v>
      </c>
      <c r="F183" t="s">
        <v>32</v>
      </c>
      <c r="G183">
        <v>1</v>
      </c>
      <c r="H183" s="4">
        <v>1450</v>
      </c>
      <c r="I183" s="5">
        <v>0</v>
      </c>
      <c r="J183" s="4">
        <v>1450</v>
      </c>
      <c r="K183" s="4">
        <v>900</v>
      </c>
      <c r="L183" s="4">
        <v>550</v>
      </c>
    </row>
    <row r="184" spans="1:12" x14ac:dyDescent="0.35">
      <c r="A184" t="s">
        <v>376</v>
      </c>
      <c r="B184" s="3" t="s">
        <v>377</v>
      </c>
      <c r="C184" t="s">
        <v>17</v>
      </c>
      <c r="D184" t="s">
        <v>59</v>
      </c>
      <c r="E184" t="s">
        <v>60</v>
      </c>
      <c r="F184" t="s">
        <v>27</v>
      </c>
      <c r="G184">
        <v>2</v>
      </c>
      <c r="H184" s="4">
        <v>58000</v>
      </c>
      <c r="I184" s="5">
        <v>0.05</v>
      </c>
      <c r="J184" s="4">
        <v>110200</v>
      </c>
      <c r="K184" s="4">
        <v>93000</v>
      </c>
      <c r="L184" s="4">
        <v>17200</v>
      </c>
    </row>
    <row r="185" spans="1:12" x14ac:dyDescent="0.35">
      <c r="A185" t="s">
        <v>378</v>
      </c>
      <c r="B185" s="3" t="s">
        <v>379</v>
      </c>
      <c r="C185" t="s">
        <v>19</v>
      </c>
      <c r="D185" t="s">
        <v>43</v>
      </c>
      <c r="E185" t="s">
        <v>73</v>
      </c>
      <c r="F185" t="s">
        <v>32</v>
      </c>
      <c r="G185">
        <v>2</v>
      </c>
      <c r="H185" s="4">
        <v>1600</v>
      </c>
      <c r="I185" s="5">
        <v>0.05</v>
      </c>
      <c r="J185" s="4">
        <v>3040</v>
      </c>
      <c r="K185" s="4">
        <v>1960</v>
      </c>
      <c r="L185" s="4">
        <v>1080</v>
      </c>
    </row>
    <row r="186" spans="1:12" x14ac:dyDescent="0.35">
      <c r="A186" t="s">
        <v>380</v>
      </c>
      <c r="B186" s="3" t="s">
        <v>379</v>
      </c>
      <c r="C186" t="s">
        <v>11</v>
      </c>
      <c r="D186" t="s">
        <v>59</v>
      </c>
      <c r="E186" t="s">
        <v>60</v>
      </c>
      <c r="F186" t="s">
        <v>27</v>
      </c>
      <c r="G186">
        <v>1</v>
      </c>
      <c r="H186" s="4">
        <v>58000</v>
      </c>
      <c r="I186" s="5">
        <v>0</v>
      </c>
      <c r="J186" s="4">
        <v>58000</v>
      </c>
      <c r="K186" s="4">
        <v>46500</v>
      </c>
      <c r="L186" s="4">
        <v>11500</v>
      </c>
    </row>
    <row r="187" spans="1:12" x14ac:dyDescent="0.35">
      <c r="A187" t="s">
        <v>381</v>
      </c>
      <c r="B187" s="3" t="s">
        <v>382</v>
      </c>
      <c r="C187" t="s">
        <v>13</v>
      </c>
      <c r="D187" t="s">
        <v>59</v>
      </c>
      <c r="E187" t="s">
        <v>60</v>
      </c>
      <c r="F187" t="s">
        <v>27</v>
      </c>
      <c r="G187">
        <v>3</v>
      </c>
      <c r="H187" s="4">
        <v>58000</v>
      </c>
      <c r="I187" s="5">
        <v>0.05</v>
      </c>
      <c r="J187" s="4">
        <v>165300</v>
      </c>
      <c r="K187" s="4">
        <v>139500</v>
      </c>
      <c r="L187" s="4">
        <v>25800</v>
      </c>
    </row>
    <row r="188" spans="1:12" x14ac:dyDescent="0.35">
      <c r="A188" t="s">
        <v>383</v>
      </c>
      <c r="B188" s="3" t="s">
        <v>384</v>
      </c>
      <c r="C188" t="s">
        <v>11</v>
      </c>
      <c r="D188" t="s">
        <v>50</v>
      </c>
      <c r="E188" t="s">
        <v>60</v>
      </c>
      <c r="F188" t="s">
        <v>27</v>
      </c>
      <c r="G188">
        <v>3</v>
      </c>
      <c r="H188" s="4">
        <v>58000</v>
      </c>
      <c r="I188" s="5">
        <v>0.15</v>
      </c>
      <c r="J188" s="4">
        <v>147900</v>
      </c>
      <c r="K188" s="4">
        <v>139500</v>
      </c>
      <c r="L188" s="4">
        <v>8400</v>
      </c>
    </row>
    <row r="189" spans="1:12" x14ac:dyDescent="0.35">
      <c r="A189" t="s">
        <v>385</v>
      </c>
      <c r="B189" s="3" t="s">
        <v>386</v>
      </c>
      <c r="C189" t="s">
        <v>13</v>
      </c>
      <c r="D189" t="s">
        <v>50</v>
      </c>
      <c r="E189" t="s">
        <v>120</v>
      </c>
      <c r="F189" t="s">
        <v>31</v>
      </c>
      <c r="G189">
        <v>3</v>
      </c>
      <c r="H189" s="4">
        <v>6200</v>
      </c>
      <c r="I189" s="5">
        <v>0</v>
      </c>
      <c r="J189" s="4">
        <v>18600</v>
      </c>
      <c r="K189" s="4">
        <v>14100</v>
      </c>
      <c r="L189" s="4">
        <v>4500</v>
      </c>
    </row>
    <row r="190" spans="1:12" x14ac:dyDescent="0.35">
      <c r="A190" t="s">
        <v>387</v>
      </c>
      <c r="B190" s="3" t="s">
        <v>386</v>
      </c>
      <c r="C190" t="s">
        <v>13</v>
      </c>
      <c r="D190" t="s">
        <v>43</v>
      </c>
      <c r="E190" t="s">
        <v>120</v>
      </c>
      <c r="F190" t="s">
        <v>31</v>
      </c>
      <c r="G190">
        <v>4</v>
      </c>
      <c r="H190" s="4">
        <v>6200</v>
      </c>
      <c r="I190" s="5">
        <v>0.05</v>
      </c>
      <c r="J190" s="4">
        <v>23560</v>
      </c>
      <c r="K190" s="4">
        <v>18800</v>
      </c>
      <c r="L190" s="4">
        <v>4760</v>
      </c>
    </row>
    <row r="191" spans="1:12" x14ac:dyDescent="0.35">
      <c r="A191" t="s">
        <v>388</v>
      </c>
      <c r="B191" s="3" t="s">
        <v>386</v>
      </c>
      <c r="C191" t="s">
        <v>15</v>
      </c>
      <c r="D191" t="s">
        <v>50</v>
      </c>
      <c r="E191" t="s">
        <v>66</v>
      </c>
      <c r="F191" t="s">
        <v>32</v>
      </c>
      <c r="G191">
        <v>1</v>
      </c>
      <c r="H191" s="4">
        <v>650</v>
      </c>
      <c r="I191" s="5">
        <v>0.05</v>
      </c>
      <c r="J191" s="4">
        <v>617.5</v>
      </c>
      <c r="K191" s="4">
        <v>390</v>
      </c>
      <c r="L191" s="4">
        <v>227.5</v>
      </c>
    </row>
    <row r="192" spans="1:12" x14ac:dyDescent="0.35">
      <c r="A192" t="s">
        <v>389</v>
      </c>
      <c r="B192" s="3" t="s">
        <v>386</v>
      </c>
      <c r="C192" t="s">
        <v>17</v>
      </c>
      <c r="D192" t="s">
        <v>59</v>
      </c>
      <c r="E192" t="s">
        <v>60</v>
      </c>
      <c r="F192" t="s">
        <v>27</v>
      </c>
      <c r="G192">
        <v>2</v>
      </c>
      <c r="H192" s="4">
        <v>58000</v>
      </c>
      <c r="I192" s="5">
        <v>0</v>
      </c>
      <c r="J192" s="4">
        <v>116000</v>
      </c>
      <c r="K192" s="4">
        <v>93000</v>
      </c>
      <c r="L192" s="4">
        <v>23000</v>
      </c>
    </row>
    <row r="193" spans="1:12" x14ac:dyDescent="0.35">
      <c r="A193" t="s">
        <v>390</v>
      </c>
      <c r="B193" s="3" t="s">
        <v>391</v>
      </c>
      <c r="C193" t="s">
        <v>17</v>
      </c>
      <c r="D193" t="s">
        <v>50</v>
      </c>
      <c r="E193" t="s">
        <v>44</v>
      </c>
      <c r="F193" t="s">
        <v>29</v>
      </c>
      <c r="G193">
        <v>1</v>
      </c>
      <c r="H193" s="4">
        <v>14500</v>
      </c>
      <c r="I193" s="5">
        <v>0.05</v>
      </c>
      <c r="J193" s="4">
        <v>13775</v>
      </c>
      <c r="K193" s="4">
        <v>11200</v>
      </c>
      <c r="L193" s="4">
        <v>2575</v>
      </c>
    </row>
    <row r="194" spans="1:12" x14ac:dyDescent="0.35">
      <c r="A194" t="s">
        <v>392</v>
      </c>
      <c r="B194" s="3" t="s">
        <v>393</v>
      </c>
      <c r="C194" t="s">
        <v>19</v>
      </c>
      <c r="D194" t="s">
        <v>59</v>
      </c>
      <c r="E194" t="s">
        <v>56</v>
      </c>
      <c r="F194" t="s">
        <v>32</v>
      </c>
      <c r="G194">
        <v>2</v>
      </c>
      <c r="H194" s="4">
        <v>950</v>
      </c>
      <c r="I194" s="5">
        <v>0.15</v>
      </c>
      <c r="J194" s="4">
        <v>1615</v>
      </c>
      <c r="K194" s="4">
        <v>1080</v>
      </c>
      <c r="L194" s="4">
        <v>535</v>
      </c>
    </row>
    <row r="195" spans="1:12" x14ac:dyDescent="0.35">
      <c r="A195" t="s">
        <v>394</v>
      </c>
      <c r="B195" s="3" t="s">
        <v>395</v>
      </c>
      <c r="C195" t="s">
        <v>11</v>
      </c>
      <c r="D195" t="s">
        <v>50</v>
      </c>
      <c r="E195" t="s">
        <v>70</v>
      </c>
      <c r="F195" t="s">
        <v>32</v>
      </c>
      <c r="G195">
        <v>2</v>
      </c>
      <c r="H195" s="4">
        <v>1800</v>
      </c>
      <c r="I195" s="5">
        <v>0</v>
      </c>
      <c r="J195" s="4">
        <v>3600</v>
      </c>
      <c r="K195" s="4">
        <v>2300</v>
      </c>
      <c r="L195" s="4">
        <v>1300</v>
      </c>
    </row>
    <row r="196" spans="1:12" x14ac:dyDescent="0.35">
      <c r="A196" t="s">
        <v>396</v>
      </c>
      <c r="B196" s="3" t="s">
        <v>395</v>
      </c>
      <c r="C196" t="s">
        <v>11</v>
      </c>
      <c r="D196" t="s">
        <v>43</v>
      </c>
      <c r="E196" t="s">
        <v>111</v>
      </c>
      <c r="F196" t="s">
        <v>29</v>
      </c>
      <c r="G196">
        <v>3</v>
      </c>
      <c r="H196" s="4">
        <v>9800</v>
      </c>
      <c r="I196" s="5">
        <v>0.05</v>
      </c>
      <c r="J196" s="4">
        <v>27930</v>
      </c>
      <c r="K196" s="4">
        <v>22200</v>
      </c>
      <c r="L196" s="4">
        <v>5730</v>
      </c>
    </row>
    <row r="197" spans="1:12" x14ac:dyDescent="0.35">
      <c r="A197" t="s">
        <v>397</v>
      </c>
      <c r="B197" s="3" t="s">
        <v>398</v>
      </c>
      <c r="C197" t="s">
        <v>13</v>
      </c>
      <c r="D197" t="s">
        <v>59</v>
      </c>
      <c r="E197" t="s">
        <v>56</v>
      </c>
      <c r="F197" t="s">
        <v>32</v>
      </c>
      <c r="G197">
        <v>5</v>
      </c>
      <c r="H197" s="4">
        <v>950</v>
      </c>
      <c r="I197" s="5">
        <v>0.15</v>
      </c>
      <c r="J197" s="4">
        <v>4037.5</v>
      </c>
      <c r="K197" s="4">
        <v>2700</v>
      </c>
      <c r="L197" s="4">
        <v>1337.5</v>
      </c>
    </row>
    <row r="198" spans="1:12" x14ac:dyDescent="0.35">
      <c r="A198" t="s">
        <v>399</v>
      </c>
      <c r="B198" s="3" t="s">
        <v>400</v>
      </c>
      <c r="C198" t="s">
        <v>13</v>
      </c>
      <c r="D198" t="s">
        <v>43</v>
      </c>
      <c r="E198" t="s">
        <v>47</v>
      </c>
      <c r="F198" t="s">
        <v>32</v>
      </c>
      <c r="G198">
        <v>1</v>
      </c>
      <c r="H198" s="4">
        <v>1450</v>
      </c>
      <c r="I198" s="5">
        <v>0.15</v>
      </c>
      <c r="J198" s="4">
        <v>1232.5</v>
      </c>
      <c r="K198" s="4">
        <v>900</v>
      </c>
      <c r="L198" s="4">
        <v>332.5</v>
      </c>
    </row>
    <row r="199" spans="1:12" x14ac:dyDescent="0.35">
      <c r="A199" t="s">
        <v>401</v>
      </c>
      <c r="B199" s="3" t="s">
        <v>400</v>
      </c>
      <c r="C199" t="s">
        <v>15</v>
      </c>
      <c r="D199" t="s">
        <v>50</v>
      </c>
      <c r="E199" t="s">
        <v>120</v>
      </c>
      <c r="F199" t="s">
        <v>31</v>
      </c>
      <c r="G199">
        <v>5</v>
      </c>
      <c r="H199" s="4">
        <v>6200</v>
      </c>
      <c r="I199" s="5">
        <v>0</v>
      </c>
      <c r="J199" s="4">
        <v>31000</v>
      </c>
      <c r="K199" s="4">
        <v>23500</v>
      </c>
      <c r="L199" s="4">
        <v>7500</v>
      </c>
    </row>
    <row r="200" spans="1:12" x14ac:dyDescent="0.35">
      <c r="A200" t="s">
        <v>402</v>
      </c>
      <c r="B200" s="3" t="s">
        <v>403</v>
      </c>
      <c r="C200" t="s">
        <v>19</v>
      </c>
      <c r="D200" t="s">
        <v>50</v>
      </c>
      <c r="E200" t="s">
        <v>120</v>
      </c>
      <c r="F200" t="s">
        <v>31</v>
      </c>
      <c r="G200">
        <v>3</v>
      </c>
      <c r="H200" s="4">
        <v>6200</v>
      </c>
      <c r="I200" s="5">
        <v>0.1</v>
      </c>
      <c r="J200" s="4">
        <v>16740</v>
      </c>
      <c r="K200" s="4">
        <v>14100</v>
      </c>
      <c r="L200" s="4">
        <v>2640</v>
      </c>
    </row>
    <row r="201" spans="1:12" x14ac:dyDescent="0.35">
      <c r="A201" t="s">
        <v>404</v>
      </c>
      <c r="B201" s="3" t="s">
        <v>403</v>
      </c>
      <c r="C201" t="s">
        <v>11</v>
      </c>
      <c r="D201" t="s">
        <v>50</v>
      </c>
      <c r="E201" t="s">
        <v>120</v>
      </c>
      <c r="F201" t="s">
        <v>31</v>
      </c>
      <c r="G201">
        <v>3</v>
      </c>
      <c r="H201" s="4">
        <v>6200</v>
      </c>
      <c r="I201" s="5">
        <v>0.15</v>
      </c>
      <c r="J201" s="4">
        <v>15810</v>
      </c>
      <c r="K201" s="4">
        <v>14100</v>
      </c>
      <c r="L201" s="4">
        <v>1710</v>
      </c>
    </row>
    <row r="202" spans="1:12" x14ac:dyDescent="0.35">
      <c r="A202" t="s">
        <v>405</v>
      </c>
      <c r="B202" s="3" t="s">
        <v>403</v>
      </c>
      <c r="C202" t="s">
        <v>19</v>
      </c>
      <c r="D202" t="s">
        <v>59</v>
      </c>
      <c r="E202" t="s">
        <v>53</v>
      </c>
      <c r="F202" t="s">
        <v>27</v>
      </c>
      <c r="G202">
        <v>5</v>
      </c>
      <c r="H202" s="4">
        <v>38500</v>
      </c>
      <c r="I202" s="5">
        <v>0.05</v>
      </c>
      <c r="J202" s="4">
        <v>182875</v>
      </c>
      <c r="K202" s="4">
        <v>155000</v>
      </c>
      <c r="L202" s="4">
        <v>27875</v>
      </c>
    </row>
    <row r="203" spans="1:12" x14ac:dyDescent="0.35">
      <c r="A203" t="s">
        <v>406</v>
      </c>
      <c r="B203" s="3" t="s">
        <v>407</v>
      </c>
      <c r="C203" t="s">
        <v>15</v>
      </c>
      <c r="D203" t="s">
        <v>43</v>
      </c>
      <c r="E203" t="s">
        <v>66</v>
      </c>
      <c r="F203" t="s">
        <v>32</v>
      </c>
      <c r="G203">
        <v>4</v>
      </c>
      <c r="H203" s="4">
        <v>650</v>
      </c>
      <c r="I203" s="5">
        <v>0.05</v>
      </c>
      <c r="J203" s="4">
        <v>2470</v>
      </c>
      <c r="K203" s="4">
        <v>1560</v>
      </c>
      <c r="L203" s="4">
        <v>910</v>
      </c>
    </row>
    <row r="204" spans="1:12" x14ac:dyDescent="0.35">
      <c r="A204" t="s">
        <v>408</v>
      </c>
      <c r="B204" s="3" t="s">
        <v>407</v>
      </c>
      <c r="C204" t="s">
        <v>19</v>
      </c>
      <c r="D204" t="s">
        <v>43</v>
      </c>
      <c r="E204" t="s">
        <v>47</v>
      </c>
      <c r="F204" t="s">
        <v>32</v>
      </c>
      <c r="G204">
        <v>3</v>
      </c>
      <c r="H204" s="4">
        <v>1450</v>
      </c>
      <c r="I204" s="5">
        <v>0</v>
      </c>
      <c r="J204" s="4">
        <v>4350</v>
      </c>
      <c r="K204" s="4">
        <v>2700</v>
      </c>
      <c r="L204" s="4">
        <v>1650</v>
      </c>
    </row>
    <row r="205" spans="1:12" x14ac:dyDescent="0.35">
      <c r="A205" t="s">
        <v>409</v>
      </c>
      <c r="B205" s="3" t="s">
        <v>407</v>
      </c>
      <c r="C205" t="s">
        <v>11</v>
      </c>
      <c r="D205" t="s">
        <v>59</v>
      </c>
      <c r="E205" t="s">
        <v>53</v>
      </c>
      <c r="F205" t="s">
        <v>27</v>
      </c>
      <c r="G205">
        <v>4</v>
      </c>
      <c r="H205" s="4">
        <v>38500</v>
      </c>
      <c r="I205" s="5">
        <v>0</v>
      </c>
      <c r="J205" s="4">
        <v>154000</v>
      </c>
      <c r="K205" s="4">
        <v>124000</v>
      </c>
      <c r="L205" s="4">
        <v>30000</v>
      </c>
    </row>
    <row r="206" spans="1:12" x14ac:dyDescent="0.35">
      <c r="A206" t="s">
        <v>410</v>
      </c>
      <c r="B206" s="3" t="s">
        <v>407</v>
      </c>
      <c r="C206" t="s">
        <v>11</v>
      </c>
      <c r="D206" t="s">
        <v>50</v>
      </c>
      <c r="E206" t="s">
        <v>53</v>
      </c>
      <c r="F206" t="s">
        <v>27</v>
      </c>
      <c r="G206">
        <v>3</v>
      </c>
      <c r="H206" s="4">
        <v>38500</v>
      </c>
      <c r="I206" s="5">
        <v>0.15</v>
      </c>
      <c r="J206" s="4">
        <v>98175</v>
      </c>
      <c r="K206" s="4">
        <v>93000</v>
      </c>
      <c r="L206" s="4">
        <v>5175</v>
      </c>
    </row>
    <row r="207" spans="1:12" x14ac:dyDescent="0.35">
      <c r="A207" t="s">
        <v>411</v>
      </c>
      <c r="B207" s="3" t="s">
        <v>412</v>
      </c>
      <c r="C207" t="s">
        <v>13</v>
      </c>
      <c r="D207" t="s">
        <v>50</v>
      </c>
      <c r="E207" t="s">
        <v>51</v>
      </c>
      <c r="F207" t="s">
        <v>31</v>
      </c>
      <c r="G207">
        <v>1</v>
      </c>
      <c r="H207" s="4">
        <v>4900</v>
      </c>
      <c r="I207" s="5">
        <v>0</v>
      </c>
      <c r="J207" s="4">
        <v>4900</v>
      </c>
      <c r="K207" s="4">
        <v>3600</v>
      </c>
      <c r="L207" s="4">
        <v>1300</v>
      </c>
    </row>
    <row r="208" spans="1:12" x14ac:dyDescent="0.35">
      <c r="A208" t="s">
        <v>413</v>
      </c>
      <c r="B208" s="3" t="s">
        <v>414</v>
      </c>
      <c r="C208" t="s">
        <v>19</v>
      </c>
      <c r="D208" t="s">
        <v>43</v>
      </c>
      <c r="E208" t="s">
        <v>120</v>
      </c>
      <c r="F208" t="s">
        <v>31</v>
      </c>
      <c r="G208">
        <v>4</v>
      </c>
      <c r="H208" s="4">
        <v>6200</v>
      </c>
      <c r="I208" s="5">
        <v>0.05</v>
      </c>
      <c r="J208" s="4">
        <v>23560</v>
      </c>
      <c r="K208" s="4">
        <v>18800</v>
      </c>
      <c r="L208" s="4">
        <v>4760</v>
      </c>
    </row>
    <row r="209" spans="1:12" x14ac:dyDescent="0.35">
      <c r="A209" t="s">
        <v>415</v>
      </c>
      <c r="B209" s="3" t="s">
        <v>416</v>
      </c>
      <c r="C209" t="s">
        <v>19</v>
      </c>
      <c r="D209" t="s">
        <v>59</v>
      </c>
      <c r="E209" t="s">
        <v>73</v>
      </c>
      <c r="F209" t="s">
        <v>32</v>
      </c>
      <c r="G209">
        <v>1</v>
      </c>
      <c r="H209" s="4">
        <v>1600</v>
      </c>
      <c r="I209" s="5">
        <v>0</v>
      </c>
      <c r="J209" s="4">
        <v>1600</v>
      </c>
      <c r="K209" s="4">
        <v>980</v>
      </c>
      <c r="L209" s="4">
        <v>620</v>
      </c>
    </row>
    <row r="210" spans="1:12" x14ac:dyDescent="0.35">
      <c r="A210" t="s">
        <v>417</v>
      </c>
      <c r="B210" s="3" t="s">
        <v>416</v>
      </c>
      <c r="C210" t="s">
        <v>15</v>
      </c>
      <c r="D210" t="s">
        <v>50</v>
      </c>
      <c r="E210" t="s">
        <v>73</v>
      </c>
      <c r="F210" t="s">
        <v>32</v>
      </c>
      <c r="G210">
        <v>3</v>
      </c>
      <c r="H210" s="4">
        <v>1600</v>
      </c>
      <c r="I210" s="5">
        <v>0</v>
      </c>
      <c r="J210" s="4">
        <v>4800</v>
      </c>
      <c r="K210" s="4">
        <v>2940</v>
      </c>
      <c r="L210" s="4">
        <v>1860</v>
      </c>
    </row>
    <row r="211" spans="1:12" x14ac:dyDescent="0.35">
      <c r="A211" t="s">
        <v>418</v>
      </c>
      <c r="B211" s="3" t="s">
        <v>419</v>
      </c>
      <c r="C211" t="s">
        <v>11</v>
      </c>
      <c r="D211" t="s">
        <v>43</v>
      </c>
      <c r="E211" t="s">
        <v>51</v>
      </c>
      <c r="F211" t="s">
        <v>31</v>
      </c>
      <c r="G211">
        <v>3</v>
      </c>
      <c r="H211" s="4">
        <v>4900</v>
      </c>
      <c r="I211" s="5">
        <v>0.15</v>
      </c>
      <c r="J211" s="4">
        <v>12495</v>
      </c>
      <c r="K211" s="4">
        <v>10800</v>
      </c>
      <c r="L211" s="4">
        <v>1695</v>
      </c>
    </row>
    <row r="212" spans="1:12" x14ac:dyDescent="0.35">
      <c r="A212" t="s">
        <v>420</v>
      </c>
      <c r="B212" s="3" t="s">
        <v>421</v>
      </c>
      <c r="C212" t="s">
        <v>11</v>
      </c>
      <c r="D212" t="s">
        <v>50</v>
      </c>
      <c r="E212" t="s">
        <v>60</v>
      </c>
      <c r="F212" t="s">
        <v>27</v>
      </c>
      <c r="G212">
        <v>1</v>
      </c>
      <c r="H212" s="4">
        <v>58000</v>
      </c>
      <c r="I212" s="5">
        <v>0.05</v>
      </c>
      <c r="J212" s="4">
        <v>55100</v>
      </c>
      <c r="K212" s="4">
        <v>46500</v>
      </c>
      <c r="L212" s="4">
        <v>8600</v>
      </c>
    </row>
    <row r="213" spans="1:12" x14ac:dyDescent="0.35">
      <c r="A213" t="s">
        <v>422</v>
      </c>
      <c r="B213" s="3" t="s">
        <v>421</v>
      </c>
      <c r="C213" t="s">
        <v>13</v>
      </c>
      <c r="D213" t="s">
        <v>50</v>
      </c>
      <c r="E213" t="s">
        <v>79</v>
      </c>
      <c r="F213" t="s">
        <v>32</v>
      </c>
      <c r="G213">
        <v>1</v>
      </c>
      <c r="H213" s="4">
        <v>2100</v>
      </c>
      <c r="I213" s="5">
        <v>0</v>
      </c>
      <c r="J213" s="4">
        <v>2100</v>
      </c>
      <c r="K213" s="4">
        <v>1450</v>
      </c>
      <c r="L213" s="4">
        <v>650</v>
      </c>
    </row>
    <row r="214" spans="1:12" x14ac:dyDescent="0.35">
      <c r="A214" t="s">
        <v>423</v>
      </c>
      <c r="B214" s="3" t="s">
        <v>424</v>
      </c>
      <c r="C214" t="s">
        <v>19</v>
      </c>
      <c r="D214" t="s">
        <v>59</v>
      </c>
      <c r="E214" t="s">
        <v>70</v>
      </c>
      <c r="F214" t="s">
        <v>32</v>
      </c>
      <c r="G214">
        <v>3</v>
      </c>
      <c r="H214" s="4">
        <v>1800</v>
      </c>
      <c r="I214" s="5">
        <v>0</v>
      </c>
      <c r="J214" s="4">
        <v>5400</v>
      </c>
      <c r="K214" s="4">
        <v>3450</v>
      </c>
      <c r="L214" s="4">
        <v>1950</v>
      </c>
    </row>
    <row r="215" spans="1:12" x14ac:dyDescent="0.35">
      <c r="A215" t="s">
        <v>425</v>
      </c>
      <c r="B215" s="3" t="s">
        <v>426</v>
      </c>
      <c r="C215" t="s">
        <v>13</v>
      </c>
      <c r="D215" t="s">
        <v>50</v>
      </c>
      <c r="E215" t="s">
        <v>44</v>
      </c>
      <c r="F215" t="s">
        <v>29</v>
      </c>
      <c r="G215">
        <v>2</v>
      </c>
      <c r="H215" s="4">
        <v>14500</v>
      </c>
      <c r="I215" s="5">
        <v>0.1</v>
      </c>
      <c r="J215" s="4">
        <v>26100</v>
      </c>
      <c r="K215" s="4">
        <v>22400</v>
      </c>
      <c r="L215" s="4">
        <v>3700</v>
      </c>
    </row>
    <row r="216" spans="1:12" x14ac:dyDescent="0.35">
      <c r="A216" t="s">
        <v>427</v>
      </c>
      <c r="B216" s="3" t="s">
        <v>428</v>
      </c>
      <c r="C216" t="s">
        <v>11</v>
      </c>
      <c r="D216" t="s">
        <v>43</v>
      </c>
      <c r="E216" t="s">
        <v>60</v>
      </c>
      <c r="F216" t="s">
        <v>27</v>
      </c>
      <c r="G216">
        <v>2</v>
      </c>
      <c r="H216" s="4">
        <v>58000</v>
      </c>
      <c r="I216" s="5">
        <v>0.05</v>
      </c>
      <c r="J216" s="4">
        <v>110200</v>
      </c>
      <c r="K216" s="4">
        <v>93000</v>
      </c>
      <c r="L216" s="4">
        <v>17200</v>
      </c>
    </row>
    <row r="217" spans="1:12" x14ac:dyDescent="0.35">
      <c r="A217" t="s">
        <v>429</v>
      </c>
      <c r="B217" s="3" t="s">
        <v>430</v>
      </c>
      <c r="C217" t="s">
        <v>15</v>
      </c>
      <c r="D217" t="s">
        <v>43</v>
      </c>
      <c r="E217" t="s">
        <v>79</v>
      </c>
      <c r="F217" t="s">
        <v>32</v>
      </c>
      <c r="G217">
        <v>1</v>
      </c>
      <c r="H217" s="4">
        <v>2100</v>
      </c>
      <c r="I217" s="5">
        <v>0.1</v>
      </c>
      <c r="J217" s="4">
        <v>1890</v>
      </c>
      <c r="K217" s="4">
        <v>1450</v>
      </c>
      <c r="L217" s="4">
        <v>440</v>
      </c>
    </row>
    <row r="218" spans="1:12" x14ac:dyDescent="0.35">
      <c r="A218" t="s">
        <v>431</v>
      </c>
      <c r="B218" s="3" t="s">
        <v>432</v>
      </c>
      <c r="C218" t="s">
        <v>19</v>
      </c>
      <c r="D218" t="s">
        <v>43</v>
      </c>
      <c r="E218" t="s">
        <v>53</v>
      </c>
      <c r="F218" t="s">
        <v>27</v>
      </c>
      <c r="G218">
        <v>4</v>
      </c>
      <c r="H218" s="4">
        <v>38500</v>
      </c>
      <c r="I218" s="5">
        <v>0.15</v>
      </c>
      <c r="J218" s="4">
        <v>130900</v>
      </c>
      <c r="K218" s="4">
        <v>124000</v>
      </c>
      <c r="L218" s="4">
        <v>6900</v>
      </c>
    </row>
    <row r="219" spans="1:12" x14ac:dyDescent="0.35">
      <c r="A219" t="s">
        <v>433</v>
      </c>
      <c r="B219" s="3" t="s">
        <v>432</v>
      </c>
      <c r="C219" t="s">
        <v>19</v>
      </c>
      <c r="D219" t="s">
        <v>50</v>
      </c>
      <c r="E219" t="s">
        <v>66</v>
      </c>
      <c r="F219" t="s">
        <v>32</v>
      </c>
      <c r="G219">
        <v>2</v>
      </c>
      <c r="H219" s="4">
        <v>650</v>
      </c>
      <c r="I219" s="5">
        <v>0.1</v>
      </c>
      <c r="J219" s="4">
        <v>1170</v>
      </c>
      <c r="K219" s="4">
        <v>780</v>
      </c>
      <c r="L219" s="4">
        <v>390</v>
      </c>
    </row>
    <row r="220" spans="1:12" x14ac:dyDescent="0.35">
      <c r="A220" t="s">
        <v>434</v>
      </c>
      <c r="B220" s="3" t="s">
        <v>435</v>
      </c>
      <c r="C220" t="s">
        <v>13</v>
      </c>
      <c r="D220" t="s">
        <v>50</v>
      </c>
      <c r="E220" t="s">
        <v>60</v>
      </c>
      <c r="F220" t="s">
        <v>27</v>
      </c>
      <c r="G220">
        <v>1</v>
      </c>
      <c r="H220" s="4">
        <v>58000</v>
      </c>
      <c r="I220" s="5">
        <v>0</v>
      </c>
      <c r="J220" s="4">
        <v>58000</v>
      </c>
      <c r="K220" s="4">
        <v>46500</v>
      </c>
      <c r="L220" s="4">
        <v>11500</v>
      </c>
    </row>
    <row r="221" spans="1:12" x14ac:dyDescent="0.35">
      <c r="A221" t="s">
        <v>436</v>
      </c>
      <c r="B221" s="3" t="s">
        <v>437</v>
      </c>
      <c r="C221" t="s">
        <v>11</v>
      </c>
      <c r="D221" t="s">
        <v>59</v>
      </c>
      <c r="E221" t="s">
        <v>111</v>
      </c>
      <c r="F221" t="s">
        <v>29</v>
      </c>
      <c r="G221">
        <v>1</v>
      </c>
      <c r="H221" s="4">
        <v>9800</v>
      </c>
      <c r="I221" s="5">
        <v>0.1</v>
      </c>
      <c r="J221" s="4">
        <v>8820</v>
      </c>
      <c r="K221" s="4">
        <v>7400</v>
      </c>
      <c r="L221" s="4">
        <v>1420</v>
      </c>
    </row>
    <row r="222" spans="1:12" x14ac:dyDescent="0.35">
      <c r="A222" t="s">
        <v>438</v>
      </c>
      <c r="B222" s="3" t="s">
        <v>439</v>
      </c>
      <c r="C222" t="s">
        <v>19</v>
      </c>
      <c r="D222" t="s">
        <v>50</v>
      </c>
      <c r="E222" t="s">
        <v>44</v>
      </c>
      <c r="F222" t="s">
        <v>29</v>
      </c>
      <c r="G222">
        <v>1</v>
      </c>
      <c r="H222" s="4">
        <v>14500</v>
      </c>
      <c r="I222" s="5">
        <v>0.1</v>
      </c>
      <c r="J222" s="4">
        <v>13050</v>
      </c>
      <c r="K222" s="4">
        <v>11200</v>
      </c>
      <c r="L222" s="4">
        <v>1850</v>
      </c>
    </row>
    <row r="223" spans="1:12" x14ac:dyDescent="0.35">
      <c r="A223" t="s">
        <v>440</v>
      </c>
      <c r="B223" s="3" t="s">
        <v>441</v>
      </c>
      <c r="C223" t="s">
        <v>13</v>
      </c>
      <c r="D223" t="s">
        <v>50</v>
      </c>
      <c r="E223" t="s">
        <v>44</v>
      </c>
      <c r="F223" t="s">
        <v>29</v>
      </c>
      <c r="G223">
        <v>1</v>
      </c>
      <c r="H223" s="4">
        <v>14500</v>
      </c>
      <c r="I223" s="5">
        <v>0.15</v>
      </c>
      <c r="J223" s="4">
        <v>12325</v>
      </c>
      <c r="K223" s="4">
        <v>11200</v>
      </c>
      <c r="L223" s="4">
        <v>1125</v>
      </c>
    </row>
    <row r="224" spans="1:12" x14ac:dyDescent="0.35">
      <c r="A224" t="s">
        <v>442</v>
      </c>
      <c r="B224" s="3" t="s">
        <v>443</v>
      </c>
      <c r="C224" t="s">
        <v>17</v>
      </c>
      <c r="D224" t="s">
        <v>50</v>
      </c>
      <c r="E224" t="s">
        <v>66</v>
      </c>
      <c r="F224" t="s">
        <v>32</v>
      </c>
      <c r="G224">
        <v>3</v>
      </c>
      <c r="H224" s="4">
        <v>650</v>
      </c>
      <c r="I224" s="5">
        <v>0.05</v>
      </c>
      <c r="J224" s="4">
        <v>1852.5</v>
      </c>
      <c r="K224" s="4">
        <v>1170</v>
      </c>
      <c r="L224" s="4">
        <v>682.5</v>
      </c>
    </row>
    <row r="225" spans="1:12" x14ac:dyDescent="0.35">
      <c r="A225" t="s">
        <v>444</v>
      </c>
      <c r="B225" s="3" t="s">
        <v>445</v>
      </c>
      <c r="C225" t="s">
        <v>11</v>
      </c>
      <c r="D225" t="s">
        <v>50</v>
      </c>
      <c r="E225" t="s">
        <v>73</v>
      </c>
      <c r="F225" t="s">
        <v>32</v>
      </c>
      <c r="G225">
        <v>1</v>
      </c>
      <c r="H225" s="4">
        <v>1600</v>
      </c>
      <c r="I225" s="5">
        <v>0.15</v>
      </c>
      <c r="J225" s="4">
        <v>1360</v>
      </c>
      <c r="K225" s="4">
        <v>980</v>
      </c>
      <c r="L225" s="4">
        <v>380</v>
      </c>
    </row>
    <row r="226" spans="1:12" x14ac:dyDescent="0.35">
      <c r="A226" t="s">
        <v>446</v>
      </c>
      <c r="B226" s="3" t="s">
        <v>445</v>
      </c>
      <c r="C226" t="s">
        <v>15</v>
      </c>
      <c r="D226" t="s">
        <v>59</v>
      </c>
      <c r="E226" t="s">
        <v>44</v>
      </c>
      <c r="F226" t="s">
        <v>29</v>
      </c>
      <c r="G226">
        <v>1</v>
      </c>
      <c r="H226" s="4">
        <v>14500</v>
      </c>
      <c r="I226" s="5">
        <v>0</v>
      </c>
      <c r="J226" s="4">
        <v>14500</v>
      </c>
      <c r="K226" s="4">
        <v>11200</v>
      </c>
      <c r="L226" s="4">
        <v>3300</v>
      </c>
    </row>
    <row r="227" spans="1:12" x14ac:dyDescent="0.35">
      <c r="A227" t="s">
        <v>447</v>
      </c>
      <c r="B227" s="3" t="s">
        <v>448</v>
      </c>
      <c r="C227" t="s">
        <v>13</v>
      </c>
      <c r="D227" t="s">
        <v>59</v>
      </c>
      <c r="E227" t="s">
        <v>51</v>
      </c>
      <c r="F227" t="s">
        <v>31</v>
      </c>
      <c r="G227">
        <v>3</v>
      </c>
      <c r="H227" s="4">
        <v>4900</v>
      </c>
      <c r="I227" s="5">
        <v>0.05</v>
      </c>
      <c r="J227" s="4">
        <v>13965</v>
      </c>
      <c r="K227" s="4">
        <v>10800</v>
      </c>
      <c r="L227" s="4">
        <v>3165</v>
      </c>
    </row>
    <row r="228" spans="1:12" x14ac:dyDescent="0.35">
      <c r="A228" t="s">
        <v>449</v>
      </c>
      <c r="B228" s="3" t="s">
        <v>450</v>
      </c>
      <c r="C228" t="s">
        <v>17</v>
      </c>
      <c r="D228" t="s">
        <v>50</v>
      </c>
      <c r="E228" t="s">
        <v>51</v>
      </c>
      <c r="F228" t="s">
        <v>31</v>
      </c>
      <c r="G228">
        <v>5</v>
      </c>
      <c r="H228" s="4">
        <v>4900</v>
      </c>
      <c r="I228" s="5">
        <v>0.05</v>
      </c>
      <c r="J228" s="4">
        <v>23275</v>
      </c>
      <c r="K228" s="4">
        <v>18000</v>
      </c>
      <c r="L228" s="4">
        <v>5275</v>
      </c>
    </row>
    <row r="229" spans="1:12" x14ac:dyDescent="0.35">
      <c r="A229" t="s">
        <v>451</v>
      </c>
      <c r="B229" s="3" t="s">
        <v>452</v>
      </c>
      <c r="C229" t="s">
        <v>15</v>
      </c>
      <c r="D229" t="s">
        <v>59</v>
      </c>
      <c r="E229" t="s">
        <v>47</v>
      </c>
      <c r="F229" t="s">
        <v>32</v>
      </c>
      <c r="G229">
        <v>4</v>
      </c>
      <c r="H229" s="4">
        <v>1450</v>
      </c>
      <c r="I229" s="5">
        <v>0.05</v>
      </c>
      <c r="J229" s="4">
        <v>5510</v>
      </c>
      <c r="K229" s="4">
        <v>3600</v>
      </c>
      <c r="L229" s="4">
        <v>1910</v>
      </c>
    </row>
    <row r="230" spans="1:12" x14ac:dyDescent="0.35">
      <c r="A230" t="s">
        <v>453</v>
      </c>
      <c r="B230" s="3" t="s">
        <v>454</v>
      </c>
      <c r="C230" t="s">
        <v>17</v>
      </c>
      <c r="D230" t="s">
        <v>50</v>
      </c>
      <c r="E230" t="s">
        <v>73</v>
      </c>
      <c r="F230" t="s">
        <v>32</v>
      </c>
      <c r="G230">
        <v>4</v>
      </c>
      <c r="H230" s="4">
        <v>1600</v>
      </c>
      <c r="I230" s="5">
        <v>0.05</v>
      </c>
      <c r="J230" s="4">
        <v>6080</v>
      </c>
      <c r="K230" s="4">
        <v>3920</v>
      </c>
      <c r="L230" s="4">
        <v>2160</v>
      </c>
    </row>
    <row r="231" spans="1:12" x14ac:dyDescent="0.35">
      <c r="A231" t="s">
        <v>455</v>
      </c>
      <c r="B231" s="3" t="s">
        <v>454</v>
      </c>
      <c r="C231" t="s">
        <v>15</v>
      </c>
      <c r="D231" t="s">
        <v>43</v>
      </c>
      <c r="E231" t="s">
        <v>56</v>
      </c>
      <c r="F231" t="s">
        <v>32</v>
      </c>
      <c r="G231">
        <v>2</v>
      </c>
      <c r="H231" s="4">
        <v>950</v>
      </c>
      <c r="I231" s="5">
        <v>0.05</v>
      </c>
      <c r="J231" s="4">
        <v>1805</v>
      </c>
      <c r="K231" s="4">
        <v>1080</v>
      </c>
      <c r="L231" s="4">
        <v>725</v>
      </c>
    </row>
    <row r="232" spans="1:12" x14ac:dyDescent="0.35">
      <c r="A232" t="s">
        <v>456</v>
      </c>
      <c r="B232" s="3" t="s">
        <v>457</v>
      </c>
      <c r="C232" t="s">
        <v>17</v>
      </c>
      <c r="D232" t="s">
        <v>59</v>
      </c>
      <c r="E232" t="s">
        <v>66</v>
      </c>
      <c r="F232" t="s">
        <v>32</v>
      </c>
      <c r="G232">
        <v>1</v>
      </c>
      <c r="H232" s="4">
        <v>650</v>
      </c>
      <c r="I232" s="5">
        <v>0</v>
      </c>
      <c r="J232" s="4">
        <v>650</v>
      </c>
      <c r="K232" s="4">
        <v>390</v>
      </c>
      <c r="L232" s="4">
        <v>260</v>
      </c>
    </row>
    <row r="233" spans="1:12" x14ac:dyDescent="0.35">
      <c r="A233" t="s">
        <v>458</v>
      </c>
      <c r="B233" s="3" t="s">
        <v>459</v>
      </c>
      <c r="C233" t="s">
        <v>11</v>
      </c>
      <c r="D233" t="s">
        <v>50</v>
      </c>
      <c r="E233" t="s">
        <v>56</v>
      </c>
      <c r="F233" t="s">
        <v>32</v>
      </c>
      <c r="G233">
        <v>2</v>
      </c>
      <c r="H233" s="4">
        <v>950</v>
      </c>
      <c r="I233" s="5">
        <v>0</v>
      </c>
      <c r="J233" s="4">
        <v>1900</v>
      </c>
      <c r="K233" s="4">
        <v>1080</v>
      </c>
      <c r="L233" s="4">
        <v>820</v>
      </c>
    </row>
    <row r="234" spans="1:12" x14ac:dyDescent="0.35">
      <c r="A234" t="s">
        <v>460</v>
      </c>
      <c r="B234" s="3" t="s">
        <v>459</v>
      </c>
      <c r="C234" t="s">
        <v>11</v>
      </c>
      <c r="D234" t="s">
        <v>43</v>
      </c>
      <c r="E234" t="s">
        <v>60</v>
      </c>
      <c r="F234" t="s">
        <v>27</v>
      </c>
      <c r="G234">
        <v>2</v>
      </c>
      <c r="H234" s="4">
        <v>58000</v>
      </c>
      <c r="I234" s="5">
        <v>0.05</v>
      </c>
      <c r="J234" s="4">
        <v>110200</v>
      </c>
      <c r="K234" s="4">
        <v>93000</v>
      </c>
      <c r="L234" s="4">
        <v>17200</v>
      </c>
    </row>
    <row r="235" spans="1:12" x14ac:dyDescent="0.35">
      <c r="A235" t="s">
        <v>461</v>
      </c>
      <c r="B235" s="3" t="s">
        <v>462</v>
      </c>
      <c r="C235" t="s">
        <v>11</v>
      </c>
      <c r="D235" t="s">
        <v>43</v>
      </c>
      <c r="E235" t="s">
        <v>111</v>
      </c>
      <c r="F235" t="s">
        <v>29</v>
      </c>
      <c r="G235">
        <v>3</v>
      </c>
      <c r="H235" s="4">
        <v>9800</v>
      </c>
      <c r="I235" s="5">
        <v>0.05</v>
      </c>
      <c r="J235" s="4">
        <v>27930</v>
      </c>
      <c r="K235" s="4">
        <v>22200</v>
      </c>
      <c r="L235" s="4">
        <v>5730</v>
      </c>
    </row>
    <row r="236" spans="1:12" x14ac:dyDescent="0.35">
      <c r="A236" t="s">
        <v>463</v>
      </c>
      <c r="B236" s="3" t="s">
        <v>464</v>
      </c>
      <c r="C236" t="s">
        <v>17</v>
      </c>
      <c r="D236" t="s">
        <v>43</v>
      </c>
      <c r="E236" t="s">
        <v>79</v>
      </c>
      <c r="F236" t="s">
        <v>32</v>
      </c>
      <c r="G236">
        <v>5</v>
      </c>
      <c r="H236" s="4">
        <v>2100</v>
      </c>
      <c r="I236" s="5">
        <v>0</v>
      </c>
      <c r="J236" s="4">
        <v>10500</v>
      </c>
      <c r="K236" s="4">
        <v>7250</v>
      </c>
      <c r="L236" s="4">
        <v>3250</v>
      </c>
    </row>
    <row r="237" spans="1:12" x14ac:dyDescent="0.35">
      <c r="A237" t="s">
        <v>465</v>
      </c>
      <c r="B237" s="3" t="s">
        <v>466</v>
      </c>
      <c r="C237" t="s">
        <v>15</v>
      </c>
      <c r="D237" t="s">
        <v>59</v>
      </c>
      <c r="E237" t="s">
        <v>73</v>
      </c>
      <c r="F237" t="s">
        <v>32</v>
      </c>
      <c r="G237">
        <v>2</v>
      </c>
      <c r="H237" s="4">
        <v>1600</v>
      </c>
      <c r="I237" s="5">
        <v>0.05</v>
      </c>
      <c r="J237" s="4">
        <v>3040</v>
      </c>
      <c r="K237" s="4">
        <v>1960</v>
      </c>
      <c r="L237" s="4">
        <v>1080</v>
      </c>
    </row>
    <row r="238" spans="1:12" x14ac:dyDescent="0.35">
      <c r="A238" t="s">
        <v>467</v>
      </c>
      <c r="B238" s="3" t="s">
        <v>468</v>
      </c>
      <c r="C238" t="s">
        <v>15</v>
      </c>
      <c r="D238" t="s">
        <v>50</v>
      </c>
      <c r="E238" t="s">
        <v>73</v>
      </c>
      <c r="F238" t="s">
        <v>32</v>
      </c>
      <c r="G238">
        <v>1</v>
      </c>
      <c r="H238" s="4">
        <v>1600</v>
      </c>
      <c r="I238" s="5">
        <v>0</v>
      </c>
      <c r="J238" s="4">
        <v>1600</v>
      </c>
      <c r="K238" s="4">
        <v>980</v>
      </c>
      <c r="L238" s="4">
        <v>620</v>
      </c>
    </row>
    <row r="239" spans="1:12" x14ac:dyDescent="0.35">
      <c r="A239" t="s">
        <v>469</v>
      </c>
      <c r="B239" s="3" t="s">
        <v>470</v>
      </c>
      <c r="C239" t="s">
        <v>15</v>
      </c>
      <c r="D239" t="s">
        <v>59</v>
      </c>
      <c r="E239" t="s">
        <v>73</v>
      </c>
      <c r="F239" t="s">
        <v>32</v>
      </c>
      <c r="G239">
        <v>4</v>
      </c>
      <c r="H239" s="4">
        <v>1600</v>
      </c>
      <c r="I239" s="5">
        <v>0.1</v>
      </c>
      <c r="J239" s="4">
        <v>5760</v>
      </c>
      <c r="K239" s="4">
        <v>3920</v>
      </c>
      <c r="L239" s="4">
        <v>1840</v>
      </c>
    </row>
    <row r="240" spans="1:12" x14ac:dyDescent="0.35">
      <c r="A240" t="s">
        <v>471</v>
      </c>
      <c r="B240" s="3" t="s">
        <v>470</v>
      </c>
      <c r="C240" t="s">
        <v>11</v>
      </c>
      <c r="D240" t="s">
        <v>43</v>
      </c>
      <c r="E240" t="s">
        <v>56</v>
      </c>
      <c r="F240" t="s">
        <v>32</v>
      </c>
      <c r="G240">
        <v>1</v>
      </c>
      <c r="H240" s="4">
        <v>950</v>
      </c>
      <c r="I240" s="5">
        <v>0</v>
      </c>
      <c r="J240" s="4">
        <v>950</v>
      </c>
      <c r="K240" s="4">
        <v>540</v>
      </c>
      <c r="L240" s="4">
        <v>410</v>
      </c>
    </row>
    <row r="241" spans="1:12" x14ac:dyDescent="0.35">
      <c r="A241" t="s">
        <v>472</v>
      </c>
      <c r="B241" s="3" t="s">
        <v>473</v>
      </c>
      <c r="C241" t="s">
        <v>15</v>
      </c>
      <c r="D241" t="s">
        <v>50</v>
      </c>
      <c r="E241" t="s">
        <v>111</v>
      </c>
      <c r="F241" t="s">
        <v>29</v>
      </c>
      <c r="G241">
        <v>3</v>
      </c>
      <c r="H241" s="4">
        <v>9800</v>
      </c>
      <c r="I241" s="5">
        <v>0.1</v>
      </c>
      <c r="J241" s="4">
        <v>26460</v>
      </c>
      <c r="K241" s="4">
        <v>22200</v>
      </c>
      <c r="L241" s="4">
        <v>4260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election activeCell="B8" sqref="B8"/>
    </sheetView>
  </sheetViews>
  <sheetFormatPr defaultRowHeight="14.5" x14ac:dyDescent="0.35"/>
  <cols>
    <col min="1" max="1" width="22" customWidth="1"/>
    <col min="2" max="2" width="95" customWidth="1"/>
  </cols>
  <sheetData>
    <row r="1" spans="1:2" x14ac:dyDescent="0.35">
      <c r="A1" t="s">
        <v>474</v>
      </c>
      <c r="B1" t="s">
        <v>475</v>
      </c>
    </row>
    <row r="2" spans="1:2" x14ac:dyDescent="0.35">
      <c r="A2" t="s">
        <v>476</v>
      </c>
      <c r="B2" t="s">
        <v>477</v>
      </c>
    </row>
    <row r="3" spans="1:2" x14ac:dyDescent="0.35">
      <c r="A3" t="s">
        <v>478</v>
      </c>
      <c r="B3" t="s">
        <v>479</v>
      </c>
    </row>
    <row r="4" spans="1:2" x14ac:dyDescent="0.35">
      <c r="A4" t="s">
        <v>480</v>
      </c>
      <c r="B4" t="s">
        <v>481</v>
      </c>
    </row>
    <row r="5" spans="1:2" ht="29" x14ac:dyDescent="0.35">
      <c r="A5" t="s">
        <v>482</v>
      </c>
      <c r="B5" s="8" t="s">
        <v>489</v>
      </c>
    </row>
    <row r="6" spans="1:2" ht="29" x14ac:dyDescent="0.35">
      <c r="A6" t="s">
        <v>483</v>
      </c>
      <c r="B6" s="8" t="s">
        <v>490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summary data </vt:lpstr>
      <vt:lpstr>pivot analysis</vt:lpstr>
      <vt:lpstr>Sales Data</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Snehal Pawar</cp:lastModifiedBy>
  <dcterms:created xsi:type="dcterms:W3CDTF">2026-10-12T10:38:42Z</dcterms:created>
  <dcterms:modified xsi:type="dcterms:W3CDTF">2026-10-14T14:00:12Z</dcterms:modified>
</cp:coreProperties>
</file>